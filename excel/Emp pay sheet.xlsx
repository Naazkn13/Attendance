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 tabRatio="500" firstSheet="3" activeTab="6"/>
  </bookViews>
  <sheets>
    <sheet name="Employee_1" sheetId="1" r:id="rId1"/>
    <sheet name="Employee_2" sheetId="2" r:id="rId2"/>
    <sheet name="Employee_4" sheetId="3" r:id="rId3"/>
    <sheet name="Employee_6" sheetId="4" r:id="rId4"/>
    <sheet name="Employee_7" sheetId="8" r:id="rId5"/>
    <sheet name="Employee_10" sheetId="5" r:id="rId6"/>
    <sheet name="Employee_12" sheetId="6" r:id="rId7"/>
    <sheet name="Employee_13" sheetId="7" r:id="rId8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3" i="2" l="1"/>
  <c r="D36" i="1" l="1"/>
  <c r="E36" i="1" s="1"/>
  <c r="D37" i="1"/>
  <c r="E37" i="1" s="1"/>
  <c r="D36" i="4"/>
  <c r="E36" i="4"/>
  <c r="F36" i="4" s="1"/>
  <c r="G36" i="4"/>
  <c r="D37" i="4"/>
  <c r="E37" i="4" s="1"/>
  <c r="D36" i="7"/>
  <c r="E36" i="7"/>
  <c r="F36" i="7" s="1"/>
  <c r="D37" i="7"/>
  <c r="E37" i="7" s="1"/>
  <c r="D36" i="5"/>
  <c r="E36" i="5" s="1"/>
  <c r="D37" i="5"/>
  <c r="E37" i="5" s="1"/>
  <c r="D36" i="6"/>
  <c r="E36" i="6" s="1"/>
  <c r="D37" i="6"/>
  <c r="E37" i="6" s="1"/>
  <c r="F37" i="6" s="1"/>
  <c r="D38" i="3"/>
  <c r="E38" i="3" s="1"/>
  <c r="D36" i="3"/>
  <c r="E36" i="3" s="1"/>
  <c r="D37" i="3"/>
  <c r="E37" i="3" s="1"/>
  <c r="D38" i="2"/>
  <c r="E38" i="2" s="1"/>
  <c r="D36" i="2"/>
  <c r="E36" i="2" s="1"/>
  <c r="D37" i="2"/>
  <c r="E37" i="2" s="1"/>
  <c r="D37" i="8"/>
  <c r="E37" i="8" s="1"/>
  <c r="D36" i="8"/>
  <c r="E36" i="8" s="1"/>
  <c r="E35" i="8"/>
  <c r="G35" i="8" s="1"/>
  <c r="D35" i="8"/>
  <c r="D34" i="8"/>
  <c r="E34" i="8" s="1"/>
  <c r="D33" i="8"/>
  <c r="E33" i="8" s="1"/>
  <c r="G33" i="8" s="1"/>
  <c r="D32" i="8"/>
  <c r="E32" i="8" s="1"/>
  <c r="D31" i="8"/>
  <c r="E31" i="8" s="1"/>
  <c r="G31" i="8" s="1"/>
  <c r="D30" i="8"/>
  <c r="E30" i="8" s="1"/>
  <c r="D29" i="8"/>
  <c r="E29" i="8" s="1"/>
  <c r="G29" i="8" s="1"/>
  <c r="D28" i="8"/>
  <c r="E28" i="8" s="1"/>
  <c r="D27" i="8"/>
  <c r="E27" i="8" s="1"/>
  <c r="G27" i="8" s="1"/>
  <c r="D26" i="8"/>
  <c r="E26" i="8" s="1"/>
  <c r="D25" i="8"/>
  <c r="E25" i="8" s="1"/>
  <c r="G25" i="8" s="1"/>
  <c r="D24" i="8"/>
  <c r="E24" i="8" s="1"/>
  <c r="D23" i="8"/>
  <c r="E23" i="8" s="1"/>
  <c r="G23" i="8" s="1"/>
  <c r="D22" i="8"/>
  <c r="E22" i="8" s="1"/>
  <c r="D21" i="8"/>
  <c r="E21" i="8" s="1"/>
  <c r="G21" i="8" s="1"/>
  <c r="D20" i="8"/>
  <c r="E20" i="8" s="1"/>
  <c r="E19" i="8"/>
  <c r="G19" i="8" s="1"/>
  <c r="D19" i="8"/>
  <c r="D18" i="8"/>
  <c r="E18" i="8" s="1"/>
  <c r="D17" i="8"/>
  <c r="E17" i="8" s="1"/>
  <c r="G17" i="8" s="1"/>
  <c r="D16" i="8"/>
  <c r="E16" i="8" s="1"/>
  <c r="D15" i="8"/>
  <c r="E15" i="8" s="1"/>
  <c r="G15" i="8" s="1"/>
  <c r="D14" i="8"/>
  <c r="E14" i="8" s="1"/>
  <c r="D13" i="8"/>
  <c r="E13" i="8" s="1"/>
  <c r="G13" i="8" s="1"/>
  <c r="D12" i="8"/>
  <c r="E12" i="8" s="1"/>
  <c r="E11" i="8"/>
  <c r="G11" i="8" s="1"/>
  <c r="D11" i="8"/>
  <c r="D10" i="8"/>
  <c r="E10" i="8" s="1"/>
  <c r="D9" i="8"/>
  <c r="E9" i="8" s="1"/>
  <c r="G9" i="8" s="1"/>
  <c r="D8" i="8"/>
  <c r="E8" i="8" s="1"/>
  <c r="B5" i="8"/>
  <c r="H34" i="8" s="1"/>
  <c r="D35" i="7"/>
  <c r="E35" i="7" s="1"/>
  <c r="D34" i="7"/>
  <c r="E34" i="7" s="1"/>
  <c r="G34" i="7" s="1"/>
  <c r="D33" i="7"/>
  <c r="E33" i="7" s="1"/>
  <c r="D32" i="7"/>
  <c r="E32" i="7" s="1"/>
  <c r="G32" i="7" s="1"/>
  <c r="D31" i="7"/>
  <c r="E31" i="7" s="1"/>
  <c r="D30" i="7"/>
  <c r="E30" i="7" s="1"/>
  <c r="G30" i="7" s="1"/>
  <c r="D29" i="7"/>
  <c r="E29" i="7" s="1"/>
  <c r="D28" i="7"/>
  <c r="E28" i="7" s="1"/>
  <c r="G28" i="7" s="1"/>
  <c r="D27" i="7"/>
  <c r="E27" i="7" s="1"/>
  <c r="D26" i="7"/>
  <c r="E26" i="7" s="1"/>
  <c r="G26" i="7" s="1"/>
  <c r="D25" i="7"/>
  <c r="E25" i="7" s="1"/>
  <c r="D24" i="7"/>
  <c r="E24" i="7" s="1"/>
  <c r="G24" i="7" s="1"/>
  <c r="D23" i="7"/>
  <c r="E23" i="7" s="1"/>
  <c r="D22" i="7"/>
  <c r="E22" i="7" s="1"/>
  <c r="G22" i="7" s="1"/>
  <c r="D21" i="7"/>
  <c r="E21" i="7" s="1"/>
  <c r="D20" i="7"/>
  <c r="E20" i="7" s="1"/>
  <c r="G20" i="7" s="1"/>
  <c r="D19" i="7"/>
  <c r="E19" i="7" s="1"/>
  <c r="E18" i="7"/>
  <c r="G18" i="7" s="1"/>
  <c r="D18" i="7"/>
  <c r="D17" i="7"/>
  <c r="E17" i="7" s="1"/>
  <c r="D16" i="7"/>
  <c r="E16" i="7" s="1"/>
  <c r="G16" i="7" s="1"/>
  <c r="D15" i="7"/>
  <c r="E15" i="7" s="1"/>
  <c r="D14" i="7"/>
  <c r="E14" i="7" s="1"/>
  <c r="G14" i="7" s="1"/>
  <c r="D13" i="7"/>
  <c r="E13" i="7" s="1"/>
  <c r="D12" i="7"/>
  <c r="E12" i="7" s="1"/>
  <c r="G12" i="7" s="1"/>
  <c r="D11" i="7"/>
  <c r="E11" i="7" s="1"/>
  <c r="D10" i="7"/>
  <c r="E10" i="7" s="1"/>
  <c r="G10" i="7" s="1"/>
  <c r="D9" i="7"/>
  <c r="E9" i="7" s="1"/>
  <c r="D8" i="7"/>
  <c r="E8" i="7" s="1"/>
  <c r="G8" i="7" s="1"/>
  <c r="B5" i="7"/>
  <c r="D35" i="6"/>
  <c r="E35" i="6" s="1"/>
  <c r="G35" i="6" s="1"/>
  <c r="D34" i="6"/>
  <c r="E34" i="6" s="1"/>
  <c r="D33" i="6"/>
  <c r="E33" i="6" s="1"/>
  <c r="G33" i="6" s="1"/>
  <c r="D32" i="6"/>
  <c r="E32" i="6" s="1"/>
  <c r="D31" i="6"/>
  <c r="E31" i="6" s="1"/>
  <c r="G31" i="6" s="1"/>
  <c r="D30" i="6"/>
  <c r="E30" i="6" s="1"/>
  <c r="D29" i="6"/>
  <c r="E29" i="6" s="1"/>
  <c r="G29" i="6" s="1"/>
  <c r="D28" i="6"/>
  <c r="E28" i="6" s="1"/>
  <c r="D27" i="6"/>
  <c r="E27" i="6" s="1"/>
  <c r="G27" i="6" s="1"/>
  <c r="D26" i="6"/>
  <c r="E26" i="6" s="1"/>
  <c r="D25" i="6"/>
  <c r="E25" i="6" s="1"/>
  <c r="G25" i="6" s="1"/>
  <c r="D24" i="6"/>
  <c r="E24" i="6" s="1"/>
  <c r="D23" i="6"/>
  <c r="E23" i="6" s="1"/>
  <c r="G23" i="6" s="1"/>
  <c r="D22" i="6"/>
  <c r="E22" i="6" s="1"/>
  <c r="D21" i="6"/>
  <c r="E21" i="6" s="1"/>
  <c r="G21" i="6" s="1"/>
  <c r="D20" i="6"/>
  <c r="E20" i="6" s="1"/>
  <c r="D19" i="6"/>
  <c r="E19" i="6" s="1"/>
  <c r="G19" i="6" s="1"/>
  <c r="D18" i="6"/>
  <c r="E18" i="6" s="1"/>
  <c r="D17" i="6"/>
  <c r="E17" i="6" s="1"/>
  <c r="G17" i="6" s="1"/>
  <c r="D16" i="6"/>
  <c r="E16" i="6" s="1"/>
  <c r="D15" i="6"/>
  <c r="E15" i="6" s="1"/>
  <c r="G15" i="6" s="1"/>
  <c r="D14" i="6"/>
  <c r="E14" i="6" s="1"/>
  <c r="D13" i="6"/>
  <c r="E13" i="6" s="1"/>
  <c r="G13" i="6" s="1"/>
  <c r="D12" i="6"/>
  <c r="E12" i="6" s="1"/>
  <c r="D11" i="6"/>
  <c r="E11" i="6" s="1"/>
  <c r="G11" i="6" s="1"/>
  <c r="D10" i="6"/>
  <c r="E10" i="6" s="1"/>
  <c r="D9" i="6"/>
  <c r="E9" i="6" s="1"/>
  <c r="G9" i="6" s="1"/>
  <c r="D8" i="6"/>
  <c r="E8" i="6" s="1"/>
  <c r="B5" i="6"/>
  <c r="D35" i="5"/>
  <c r="E35" i="5" s="1"/>
  <c r="D34" i="5"/>
  <c r="E34" i="5" s="1"/>
  <c r="G34" i="5" s="1"/>
  <c r="D33" i="5"/>
  <c r="E33" i="5" s="1"/>
  <c r="D32" i="5"/>
  <c r="E32" i="5" s="1"/>
  <c r="G32" i="5" s="1"/>
  <c r="D31" i="5"/>
  <c r="E31" i="5" s="1"/>
  <c r="E30" i="5"/>
  <c r="G30" i="5" s="1"/>
  <c r="D30" i="5"/>
  <c r="D29" i="5"/>
  <c r="E29" i="5" s="1"/>
  <c r="D28" i="5"/>
  <c r="E28" i="5" s="1"/>
  <c r="G28" i="5" s="1"/>
  <c r="D27" i="5"/>
  <c r="E27" i="5" s="1"/>
  <c r="D26" i="5"/>
  <c r="E26" i="5" s="1"/>
  <c r="G26" i="5" s="1"/>
  <c r="D25" i="5"/>
  <c r="E25" i="5" s="1"/>
  <c r="D24" i="5"/>
  <c r="E24" i="5" s="1"/>
  <c r="G24" i="5" s="1"/>
  <c r="D23" i="5"/>
  <c r="E23" i="5" s="1"/>
  <c r="E22" i="5"/>
  <c r="G22" i="5" s="1"/>
  <c r="D22" i="5"/>
  <c r="D21" i="5"/>
  <c r="E21" i="5" s="1"/>
  <c r="D20" i="5"/>
  <c r="E20" i="5" s="1"/>
  <c r="G20" i="5" s="1"/>
  <c r="D19" i="5"/>
  <c r="E19" i="5" s="1"/>
  <c r="D18" i="5"/>
  <c r="E18" i="5" s="1"/>
  <c r="G18" i="5" s="1"/>
  <c r="D17" i="5"/>
  <c r="E17" i="5" s="1"/>
  <c r="D16" i="5"/>
  <c r="E16" i="5" s="1"/>
  <c r="G16" i="5" s="1"/>
  <c r="D15" i="5"/>
  <c r="E15" i="5" s="1"/>
  <c r="E14" i="5"/>
  <c r="G14" i="5" s="1"/>
  <c r="D14" i="5"/>
  <c r="D13" i="5"/>
  <c r="E13" i="5" s="1"/>
  <c r="D12" i="5"/>
  <c r="E12" i="5" s="1"/>
  <c r="G12" i="5" s="1"/>
  <c r="D11" i="5"/>
  <c r="E11" i="5" s="1"/>
  <c r="D10" i="5"/>
  <c r="E10" i="5" s="1"/>
  <c r="G10" i="5" s="1"/>
  <c r="D9" i="5"/>
  <c r="E9" i="5" s="1"/>
  <c r="D8" i="5"/>
  <c r="E8" i="5" s="1"/>
  <c r="G8" i="5" s="1"/>
  <c r="B5" i="5"/>
  <c r="H35" i="5" s="1"/>
  <c r="D35" i="4"/>
  <c r="E35" i="4" s="1"/>
  <c r="D34" i="4"/>
  <c r="E34" i="4" s="1"/>
  <c r="G34" i="4" s="1"/>
  <c r="D33" i="4"/>
  <c r="E33" i="4" s="1"/>
  <c r="D32" i="4"/>
  <c r="E32" i="4" s="1"/>
  <c r="F32" i="4" s="1"/>
  <c r="D31" i="4"/>
  <c r="E31" i="4" s="1"/>
  <c r="G31" i="4" s="1"/>
  <c r="D30" i="4"/>
  <c r="E30" i="4" s="1"/>
  <c r="F30" i="4" s="1"/>
  <c r="D29" i="4"/>
  <c r="E29" i="4" s="1"/>
  <c r="G29" i="4" s="1"/>
  <c r="D28" i="4"/>
  <c r="E28" i="4" s="1"/>
  <c r="F28" i="4" s="1"/>
  <c r="D27" i="4"/>
  <c r="E27" i="4" s="1"/>
  <c r="G27" i="4" s="1"/>
  <c r="D26" i="4"/>
  <c r="E26" i="4" s="1"/>
  <c r="F26" i="4" s="1"/>
  <c r="D25" i="4"/>
  <c r="E25" i="4" s="1"/>
  <c r="G25" i="4" s="1"/>
  <c r="D24" i="4"/>
  <c r="E24" i="4" s="1"/>
  <c r="G24" i="4" s="1"/>
  <c r="D23" i="4"/>
  <c r="E23" i="4" s="1"/>
  <c r="D22" i="4"/>
  <c r="E22" i="4" s="1"/>
  <c r="G22" i="4" s="1"/>
  <c r="D21" i="4"/>
  <c r="E21" i="4" s="1"/>
  <c r="D20" i="4"/>
  <c r="E20" i="4" s="1"/>
  <c r="G20" i="4" s="1"/>
  <c r="D19" i="4"/>
  <c r="E19" i="4" s="1"/>
  <c r="D18" i="4"/>
  <c r="E18" i="4" s="1"/>
  <c r="G18" i="4" s="1"/>
  <c r="D17" i="4"/>
  <c r="E17" i="4" s="1"/>
  <c r="D16" i="4"/>
  <c r="E16" i="4" s="1"/>
  <c r="G16" i="4" s="1"/>
  <c r="D15" i="4"/>
  <c r="E15" i="4" s="1"/>
  <c r="D14" i="4"/>
  <c r="E14" i="4" s="1"/>
  <c r="G14" i="4" s="1"/>
  <c r="D13" i="4"/>
  <c r="E13" i="4" s="1"/>
  <c r="D12" i="4"/>
  <c r="E12" i="4" s="1"/>
  <c r="G12" i="4" s="1"/>
  <c r="D11" i="4"/>
  <c r="E11" i="4" s="1"/>
  <c r="D10" i="4"/>
  <c r="E10" i="4" s="1"/>
  <c r="G10" i="4" s="1"/>
  <c r="D9" i="4"/>
  <c r="E9" i="4" s="1"/>
  <c r="E8" i="4"/>
  <c r="F8" i="4" s="1"/>
  <c r="D8" i="4"/>
  <c r="B5" i="4"/>
  <c r="D35" i="3"/>
  <c r="E35" i="3" s="1"/>
  <c r="G35" i="3" s="1"/>
  <c r="D34" i="3"/>
  <c r="E34" i="3" s="1"/>
  <c r="E33" i="3"/>
  <c r="G33" i="3" s="1"/>
  <c r="D33" i="3"/>
  <c r="D32" i="3"/>
  <c r="E32" i="3" s="1"/>
  <c r="D31" i="3"/>
  <c r="E31" i="3" s="1"/>
  <c r="G31" i="3" s="1"/>
  <c r="D30" i="3"/>
  <c r="E30" i="3" s="1"/>
  <c r="D29" i="3"/>
  <c r="E29" i="3" s="1"/>
  <c r="D28" i="3"/>
  <c r="E28" i="3" s="1"/>
  <c r="E27" i="3"/>
  <c r="G27" i="3" s="1"/>
  <c r="D27" i="3"/>
  <c r="D26" i="3"/>
  <c r="E26" i="3" s="1"/>
  <c r="D25" i="3"/>
  <c r="E25" i="3" s="1"/>
  <c r="G25" i="3" s="1"/>
  <c r="D24" i="3"/>
  <c r="E24" i="3" s="1"/>
  <c r="E23" i="3"/>
  <c r="G23" i="3" s="1"/>
  <c r="D23" i="3"/>
  <c r="D22" i="3"/>
  <c r="E22" i="3" s="1"/>
  <c r="E21" i="3"/>
  <c r="F21" i="3" s="1"/>
  <c r="D21" i="3"/>
  <c r="D20" i="3"/>
  <c r="E20" i="3" s="1"/>
  <c r="D19" i="3"/>
  <c r="E19" i="3" s="1"/>
  <c r="F19" i="3" s="1"/>
  <c r="D18" i="3"/>
  <c r="E18" i="3" s="1"/>
  <c r="E17" i="3"/>
  <c r="G17" i="3" s="1"/>
  <c r="D17" i="3"/>
  <c r="D16" i="3"/>
  <c r="E16" i="3" s="1"/>
  <c r="D15" i="3"/>
  <c r="E15" i="3" s="1"/>
  <c r="F15" i="3" s="1"/>
  <c r="D14" i="3"/>
  <c r="E14" i="3" s="1"/>
  <c r="E13" i="3"/>
  <c r="G13" i="3" s="1"/>
  <c r="D13" i="3"/>
  <c r="D12" i="3"/>
  <c r="E12" i="3" s="1"/>
  <c r="D11" i="3"/>
  <c r="E11" i="3" s="1"/>
  <c r="F11" i="3" s="1"/>
  <c r="D10" i="3"/>
  <c r="E10" i="3" s="1"/>
  <c r="E9" i="3"/>
  <c r="F9" i="3" s="1"/>
  <c r="D9" i="3"/>
  <c r="D8" i="3"/>
  <c r="E8" i="3" s="1"/>
  <c r="B5" i="3"/>
  <c r="D35" i="2"/>
  <c r="E35" i="2" s="1"/>
  <c r="D34" i="2"/>
  <c r="E34" i="2" s="1"/>
  <c r="G34" i="2" s="1"/>
  <c r="D33" i="2"/>
  <c r="E33" i="2" s="1"/>
  <c r="E32" i="2"/>
  <c r="F32" i="2" s="1"/>
  <c r="D32" i="2"/>
  <c r="D31" i="2"/>
  <c r="E31" i="2" s="1"/>
  <c r="D30" i="2"/>
  <c r="E30" i="2" s="1"/>
  <c r="G30" i="2" s="1"/>
  <c r="D29" i="2"/>
  <c r="E29" i="2" s="1"/>
  <c r="E28" i="2"/>
  <c r="G28" i="2" s="1"/>
  <c r="D28" i="2"/>
  <c r="D27" i="2"/>
  <c r="E27" i="2" s="1"/>
  <c r="D26" i="2"/>
  <c r="E26" i="2" s="1"/>
  <c r="F26" i="2" s="1"/>
  <c r="D25" i="2"/>
  <c r="E25" i="2" s="1"/>
  <c r="E24" i="2"/>
  <c r="F24" i="2" s="1"/>
  <c r="D24" i="2"/>
  <c r="D23" i="2"/>
  <c r="E23" i="2" s="1"/>
  <c r="D22" i="2"/>
  <c r="E22" i="2" s="1"/>
  <c r="G22" i="2" s="1"/>
  <c r="D21" i="2"/>
  <c r="E21" i="2" s="1"/>
  <c r="E20" i="2"/>
  <c r="F20" i="2" s="1"/>
  <c r="D20" i="2"/>
  <c r="D19" i="2"/>
  <c r="E19" i="2" s="1"/>
  <c r="D18" i="2"/>
  <c r="E18" i="2" s="1"/>
  <c r="F18" i="2" s="1"/>
  <c r="D17" i="2"/>
  <c r="E17" i="2" s="1"/>
  <c r="E16" i="2"/>
  <c r="F16" i="2" s="1"/>
  <c r="D16" i="2"/>
  <c r="D15" i="2"/>
  <c r="E15" i="2" s="1"/>
  <c r="D14" i="2"/>
  <c r="E14" i="2" s="1"/>
  <c r="F14" i="2" s="1"/>
  <c r="D13" i="2"/>
  <c r="E13" i="2" s="1"/>
  <c r="E12" i="2"/>
  <c r="F12" i="2" s="1"/>
  <c r="D12" i="2"/>
  <c r="D11" i="2"/>
  <c r="E11" i="2" s="1"/>
  <c r="D10" i="2"/>
  <c r="E10" i="2" s="1"/>
  <c r="F10" i="2" s="1"/>
  <c r="D9" i="2"/>
  <c r="E9" i="2" s="1"/>
  <c r="E8" i="2"/>
  <c r="D8" i="2"/>
  <c r="B5" i="2"/>
  <c r="H27" i="2" s="1"/>
  <c r="D35" i="1"/>
  <c r="E35" i="1" s="1"/>
  <c r="D34" i="1"/>
  <c r="E34" i="1" s="1"/>
  <c r="F34" i="1" s="1"/>
  <c r="D33" i="1"/>
  <c r="E33" i="1" s="1"/>
  <c r="D32" i="1"/>
  <c r="E32" i="1" s="1"/>
  <c r="F32" i="1" s="1"/>
  <c r="D31" i="1"/>
  <c r="E31" i="1" s="1"/>
  <c r="D30" i="1"/>
  <c r="E30" i="1" s="1"/>
  <c r="F30" i="1" s="1"/>
  <c r="D29" i="1"/>
  <c r="E29" i="1" s="1"/>
  <c r="D28" i="1"/>
  <c r="E28" i="1" s="1"/>
  <c r="F28" i="1" s="1"/>
  <c r="D27" i="1"/>
  <c r="E27" i="1" s="1"/>
  <c r="D26" i="1"/>
  <c r="E26" i="1" s="1"/>
  <c r="F26" i="1" s="1"/>
  <c r="D25" i="1"/>
  <c r="E25" i="1" s="1"/>
  <c r="D24" i="1"/>
  <c r="E24" i="1" s="1"/>
  <c r="F24" i="1" s="1"/>
  <c r="D23" i="1"/>
  <c r="E23" i="1" s="1"/>
  <c r="D22" i="1"/>
  <c r="E22" i="1" s="1"/>
  <c r="G22" i="1" s="1"/>
  <c r="D21" i="1"/>
  <c r="E21" i="1" s="1"/>
  <c r="D20" i="1"/>
  <c r="E20" i="1" s="1"/>
  <c r="G20" i="1" s="1"/>
  <c r="D19" i="1"/>
  <c r="E19" i="1" s="1"/>
  <c r="D18" i="1"/>
  <c r="E18" i="1" s="1"/>
  <c r="G18" i="1" s="1"/>
  <c r="D17" i="1"/>
  <c r="E17" i="1" s="1"/>
  <c r="D16" i="1"/>
  <c r="E16" i="1" s="1"/>
  <c r="G16" i="1" s="1"/>
  <c r="D15" i="1"/>
  <c r="E15" i="1" s="1"/>
  <c r="D14" i="1"/>
  <c r="E14" i="1" s="1"/>
  <c r="G14" i="1" s="1"/>
  <c r="D13" i="1"/>
  <c r="E13" i="1" s="1"/>
  <c r="D12" i="1"/>
  <c r="E12" i="1" s="1"/>
  <c r="F12" i="1" s="1"/>
  <c r="D11" i="1"/>
  <c r="E11" i="1" s="1"/>
  <c r="D10" i="1"/>
  <c r="E10" i="1" s="1"/>
  <c r="G10" i="1" s="1"/>
  <c r="D9" i="1"/>
  <c r="E9" i="1" s="1"/>
  <c r="D8" i="1"/>
  <c r="E8" i="1" s="1"/>
  <c r="G8" i="1" s="1"/>
  <c r="B5" i="1"/>
  <c r="G36" i="7" l="1"/>
  <c r="H34" i="6"/>
  <c r="G37" i="6"/>
  <c r="F35" i="7"/>
  <c r="G35" i="7"/>
  <c r="F36" i="1"/>
  <c r="G36" i="1"/>
  <c r="H35" i="7"/>
  <c r="F36" i="5"/>
  <c r="G36" i="5"/>
  <c r="F29" i="3"/>
  <c r="G29" i="3"/>
  <c r="H35" i="3"/>
  <c r="G21" i="3"/>
  <c r="F37" i="1"/>
  <c r="H37" i="1"/>
  <c r="G37" i="1"/>
  <c r="H36" i="1"/>
  <c r="H29" i="1"/>
  <c r="F37" i="4"/>
  <c r="H37" i="4"/>
  <c r="G37" i="4"/>
  <c r="H36" i="4"/>
  <c r="H24" i="4"/>
  <c r="F37" i="7"/>
  <c r="H37" i="7"/>
  <c r="G37" i="7"/>
  <c r="H36" i="7"/>
  <c r="F37" i="5"/>
  <c r="H37" i="5"/>
  <c r="G37" i="5"/>
  <c r="H36" i="5"/>
  <c r="G36" i="6"/>
  <c r="F36" i="6"/>
  <c r="H36" i="6"/>
  <c r="H37" i="6"/>
  <c r="G38" i="3"/>
  <c r="F38" i="3"/>
  <c r="H38" i="3"/>
  <c r="F37" i="3"/>
  <c r="G37" i="3"/>
  <c r="G36" i="3"/>
  <c r="F36" i="3"/>
  <c r="H36" i="3"/>
  <c r="H37" i="3"/>
  <c r="G38" i="2"/>
  <c r="F38" i="2"/>
  <c r="H38" i="2"/>
  <c r="F37" i="2"/>
  <c r="G37" i="2"/>
  <c r="G36" i="2"/>
  <c r="F36" i="2"/>
  <c r="H36" i="2"/>
  <c r="H37" i="2"/>
  <c r="G37" i="8"/>
  <c r="F37" i="8"/>
  <c r="H37" i="8"/>
  <c r="G36" i="8"/>
  <c r="F36" i="8"/>
  <c r="H36" i="8"/>
  <c r="F23" i="1"/>
  <c r="G23" i="1"/>
  <c r="G27" i="1"/>
  <c r="F27" i="1"/>
  <c r="G35" i="1"/>
  <c r="F35" i="1"/>
  <c r="G9" i="2"/>
  <c r="F9" i="2"/>
  <c r="G17" i="2"/>
  <c r="F17" i="2"/>
  <c r="G21" i="2"/>
  <c r="F21" i="2"/>
  <c r="F14" i="3"/>
  <c r="G14" i="3"/>
  <c r="H14" i="3"/>
  <c r="H18" i="3"/>
  <c r="G18" i="3"/>
  <c r="F18" i="3"/>
  <c r="H28" i="3"/>
  <c r="F28" i="3"/>
  <c r="G28" i="3"/>
  <c r="H34" i="3"/>
  <c r="F34" i="3"/>
  <c r="G34" i="3"/>
  <c r="F9" i="1"/>
  <c r="G9" i="1"/>
  <c r="F13" i="1"/>
  <c r="G13" i="1"/>
  <c r="F17" i="1"/>
  <c r="G17" i="1"/>
  <c r="F21" i="1"/>
  <c r="G21" i="1"/>
  <c r="G25" i="1"/>
  <c r="F25" i="1"/>
  <c r="G29" i="1"/>
  <c r="F29" i="1"/>
  <c r="G33" i="1"/>
  <c r="F33" i="1"/>
  <c r="G11" i="2"/>
  <c r="F11" i="2"/>
  <c r="G15" i="2"/>
  <c r="F15" i="2"/>
  <c r="G19" i="2"/>
  <c r="F19" i="2"/>
  <c r="F23" i="2"/>
  <c r="G23" i="2"/>
  <c r="G27" i="2"/>
  <c r="F27" i="2"/>
  <c r="G31" i="2"/>
  <c r="F31" i="2"/>
  <c r="F35" i="2"/>
  <c r="G35" i="2"/>
  <c r="E39" i="3"/>
  <c r="G8" i="3"/>
  <c r="H8" i="3"/>
  <c r="F8" i="3"/>
  <c r="H12" i="3"/>
  <c r="G12" i="3"/>
  <c r="F12" i="3"/>
  <c r="H16" i="3"/>
  <c r="G16" i="3"/>
  <c r="F16" i="3"/>
  <c r="H20" i="3"/>
  <c r="F20" i="3"/>
  <c r="G20" i="3"/>
  <c r="H22" i="3"/>
  <c r="F22" i="3"/>
  <c r="G22" i="3"/>
  <c r="H26" i="3"/>
  <c r="F26" i="3"/>
  <c r="G26" i="3"/>
  <c r="H32" i="3"/>
  <c r="F32" i="3"/>
  <c r="G32" i="3"/>
  <c r="F11" i="4"/>
  <c r="G11" i="4"/>
  <c r="F15" i="4"/>
  <c r="G15" i="4"/>
  <c r="F19" i="4"/>
  <c r="G19" i="4"/>
  <c r="F23" i="4"/>
  <c r="G23" i="4"/>
  <c r="E39" i="2"/>
  <c r="F11" i="1"/>
  <c r="G11" i="1"/>
  <c r="F15" i="1"/>
  <c r="G15" i="1"/>
  <c r="F19" i="1"/>
  <c r="G19" i="1"/>
  <c r="G31" i="1"/>
  <c r="F31" i="1"/>
  <c r="G13" i="2"/>
  <c r="F13" i="2"/>
  <c r="G25" i="2"/>
  <c r="F25" i="2"/>
  <c r="F29" i="2"/>
  <c r="G29" i="2"/>
  <c r="F33" i="2"/>
  <c r="G33" i="2"/>
  <c r="G10" i="3"/>
  <c r="H10" i="3"/>
  <c r="F10" i="3"/>
  <c r="H24" i="3"/>
  <c r="F24" i="3"/>
  <c r="G24" i="3"/>
  <c r="H30" i="3"/>
  <c r="F30" i="3"/>
  <c r="G30" i="3"/>
  <c r="F9" i="4"/>
  <c r="G9" i="4"/>
  <c r="F13" i="4"/>
  <c r="G13" i="4"/>
  <c r="F17" i="4"/>
  <c r="G17" i="4"/>
  <c r="F21" i="4"/>
  <c r="G21" i="4"/>
  <c r="F35" i="4"/>
  <c r="G35" i="4"/>
  <c r="F9" i="5"/>
  <c r="G9" i="5"/>
  <c r="F13" i="5"/>
  <c r="G13" i="5"/>
  <c r="F17" i="5"/>
  <c r="G17" i="5"/>
  <c r="F21" i="5"/>
  <c r="G21" i="5"/>
  <c r="F25" i="5"/>
  <c r="G25" i="5"/>
  <c r="F29" i="5"/>
  <c r="G29" i="5"/>
  <c r="F33" i="5"/>
  <c r="G33" i="5"/>
  <c r="H10" i="6"/>
  <c r="F10" i="6"/>
  <c r="G10" i="6"/>
  <c r="H14" i="6"/>
  <c r="F14" i="6"/>
  <c r="G14" i="6"/>
  <c r="F18" i="6"/>
  <c r="G18" i="6"/>
  <c r="F22" i="6"/>
  <c r="G22" i="6"/>
  <c r="F26" i="6"/>
  <c r="G26" i="6"/>
  <c r="F30" i="6"/>
  <c r="G30" i="6"/>
  <c r="F34" i="6"/>
  <c r="G34" i="6"/>
  <c r="F9" i="7"/>
  <c r="G9" i="7"/>
  <c r="F13" i="7"/>
  <c r="G13" i="7"/>
  <c r="F17" i="7"/>
  <c r="G17" i="7"/>
  <c r="F21" i="7"/>
  <c r="G21" i="7"/>
  <c r="F25" i="7"/>
  <c r="G25" i="7"/>
  <c r="F29" i="7"/>
  <c r="G29" i="7"/>
  <c r="F33" i="7"/>
  <c r="G33" i="7"/>
  <c r="H10" i="8"/>
  <c r="F10" i="8"/>
  <c r="G10" i="8"/>
  <c r="H14" i="8"/>
  <c r="F14" i="8"/>
  <c r="G14" i="8"/>
  <c r="H18" i="8"/>
  <c r="F18" i="8"/>
  <c r="G18" i="8"/>
  <c r="F22" i="8"/>
  <c r="G22" i="8"/>
  <c r="F26" i="8"/>
  <c r="G26" i="8"/>
  <c r="F30" i="8"/>
  <c r="G30" i="8"/>
  <c r="F34" i="8"/>
  <c r="G34" i="8"/>
  <c r="H9" i="1"/>
  <c r="H11" i="1"/>
  <c r="G12" i="1"/>
  <c r="H13" i="1"/>
  <c r="H15" i="1"/>
  <c r="H17" i="1"/>
  <c r="H19" i="1"/>
  <c r="H23" i="1"/>
  <c r="G24" i="1"/>
  <c r="G26" i="1"/>
  <c r="G28" i="1"/>
  <c r="G30" i="1"/>
  <c r="H31" i="1"/>
  <c r="G32" i="1"/>
  <c r="H33" i="1"/>
  <c r="G34" i="1"/>
  <c r="H35" i="1"/>
  <c r="G8" i="2"/>
  <c r="H9" i="2"/>
  <c r="G10" i="2"/>
  <c r="H11" i="2"/>
  <c r="G12" i="2"/>
  <c r="H13" i="2"/>
  <c r="G14" i="2"/>
  <c r="H15" i="2"/>
  <c r="G16" i="2"/>
  <c r="H17" i="2"/>
  <c r="G18" i="2"/>
  <c r="H19" i="2"/>
  <c r="G20" i="2"/>
  <c r="H23" i="2"/>
  <c r="G24" i="2"/>
  <c r="H25" i="2"/>
  <c r="G26" i="2"/>
  <c r="H29" i="2"/>
  <c r="H31" i="2"/>
  <c r="G32" i="2"/>
  <c r="H33" i="2"/>
  <c r="H35" i="2"/>
  <c r="G9" i="3"/>
  <c r="G11" i="3"/>
  <c r="G15" i="3"/>
  <c r="G19" i="3"/>
  <c r="F8" i="1"/>
  <c r="H8" i="1"/>
  <c r="F10" i="1"/>
  <c r="H10" i="1"/>
  <c r="H12" i="1"/>
  <c r="F14" i="1"/>
  <c r="H14" i="1"/>
  <c r="F16" i="1"/>
  <c r="H16" i="1"/>
  <c r="F18" i="1"/>
  <c r="H18" i="1"/>
  <c r="F20" i="1"/>
  <c r="H20" i="1"/>
  <c r="F22" i="1"/>
  <c r="H22" i="1"/>
  <c r="H24" i="1"/>
  <c r="H26" i="1"/>
  <c r="H28" i="1"/>
  <c r="H30" i="1"/>
  <c r="H32" i="1"/>
  <c r="H34" i="1"/>
  <c r="E38" i="1"/>
  <c r="F8" i="2"/>
  <c r="H8" i="2"/>
  <c r="H10" i="2"/>
  <c r="H12" i="2"/>
  <c r="H14" i="2"/>
  <c r="H16" i="2"/>
  <c r="H18" i="2"/>
  <c r="H20" i="2"/>
  <c r="F22" i="2"/>
  <c r="H22" i="2"/>
  <c r="H24" i="2"/>
  <c r="H26" i="2"/>
  <c r="F28" i="2"/>
  <c r="H28" i="2"/>
  <c r="F30" i="2"/>
  <c r="H30" i="2"/>
  <c r="H32" i="2"/>
  <c r="F34" i="2"/>
  <c r="H34" i="2"/>
  <c r="H9" i="3"/>
  <c r="H11" i="3"/>
  <c r="F13" i="3"/>
  <c r="H13" i="3"/>
  <c r="H15" i="3"/>
  <c r="F17" i="3"/>
  <c r="H17" i="3"/>
  <c r="H19" i="3"/>
  <c r="H21" i="3"/>
  <c r="F23" i="3"/>
  <c r="H23" i="3"/>
  <c r="F25" i="3"/>
  <c r="H25" i="3"/>
  <c r="F27" i="3"/>
  <c r="H27" i="3"/>
  <c r="H29" i="3"/>
  <c r="F31" i="3"/>
  <c r="H31" i="3"/>
  <c r="F33" i="3"/>
  <c r="H33" i="3"/>
  <c r="F35" i="3"/>
  <c r="H8" i="4"/>
  <c r="F10" i="4"/>
  <c r="H10" i="4"/>
  <c r="F12" i="4"/>
  <c r="H12" i="4"/>
  <c r="F14" i="4"/>
  <c r="H14" i="4"/>
  <c r="F16" i="4"/>
  <c r="H16" i="4"/>
  <c r="F18" i="4"/>
  <c r="H18" i="4"/>
  <c r="F20" i="4"/>
  <c r="H20" i="4"/>
  <c r="F22" i="4"/>
  <c r="H22" i="4"/>
  <c r="F24" i="4"/>
  <c r="F25" i="4"/>
  <c r="G26" i="4"/>
  <c r="F27" i="4"/>
  <c r="G28" i="4"/>
  <c r="F29" i="4"/>
  <c r="G30" i="4"/>
  <c r="F31" i="4"/>
  <c r="G32" i="4"/>
  <c r="H35" i="4"/>
  <c r="H33" i="4"/>
  <c r="H34" i="4"/>
  <c r="H32" i="4"/>
  <c r="H30" i="4"/>
  <c r="H28" i="4"/>
  <c r="H26" i="4"/>
  <c r="F33" i="4"/>
  <c r="G33" i="4"/>
  <c r="F11" i="5"/>
  <c r="G11" i="5"/>
  <c r="F15" i="5"/>
  <c r="G15" i="5"/>
  <c r="F19" i="5"/>
  <c r="G19" i="5"/>
  <c r="F23" i="5"/>
  <c r="G23" i="5"/>
  <c r="F27" i="5"/>
  <c r="G27" i="5"/>
  <c r="F31" i="5"/>
  <c r="G31" i="5"/>
  <c r="F35" i="5"/>
  <c r="G35" i="5"/>
  <c r="E38" i="6"/>
  <c r="H8" i="6"/>
  <c r="F8" i="6"/>
  <c r="G8" i="6"/>
  <c r="H12" i="6"/>
  <c r="F12" i="6"/>
  <c r="G12" i="6"/>
  <c r="H16" i="6"/>
  <c r="F16" i="6"/>
  <c r="G16" i="6"/>
  <c r="F20" i="6"/>
  <c r="G20" i="6"/>
  <c r="F24" i="6"/>
  <c r="G24" i="6"/>
  <c r="F28" i="6"/>
  <c r="G28" i="6"/>
  <c r="F32" i="6"/>
  <c r="G32" i="6"/>
  <c r="F11" i="7"/>
  <c r="G11" i="7"/>
  <c r="F15" i="7"/>
  <c r="G15" i="7"/>
  <c r="F19" i="7"/>
  <c r="G19" i="7"/>
  <c r="F23" i="7"/>
  <c r="G23" i="7"/>
  <c r="F27" i="7"/>
  <c r="G27" i="7"/>
  <c r="F31" i="7"/>
  <c r="G31" i="7"/>
  <c r="E38" i="8"/>
  <c r="H8" i="8"/>
  <c r="F8" i="8"/>
  <c r="G8" i="8"/>
  <c r="H12" i="8"/>
  <c r="F12" i="8"/>
  <c r="G12" i="8"/>
  <c r="H16" i="8"/>
  <c r="F16" i="8"/>
  <c r="G16" i="8"/>
  <c r="H20" i="8"/>
  <c r="F20" i="8"/>
  <c r="G20" i="8"/>
  <c r="F24" i="8"/>
  <c r="G24" i="8"/>
  <c r="F28" i="8"/>
  <c r="G28" i="8"/>
  <c r="F32" i="8"/>
  <c r="G32" i="8"/>
  <c r="H21" i="1"/>
  <c r="H25" i="1"/>
  <c r="H27" i="1"/>
  <c r="H21" i="2"/>
  <c r="E38" i="4"/>
  <c r="G8" i="4"/>
  <c r="H9" i="4"/>
  <c r="H11" i="4"/>
  <c r="H13" i="4"/>
  <c r="H15" i="4"/>
  <c r="H17" i="4"/>
  <c r="H19" i="4"/>
  <c r="H21" i="4"/>
  <c r="H23" i="4"/>
  <c r="H25" i="4"/>
  <c r="H27" i="4"/>
  <c r="H29" i="4"/>
  <c r="H31" i="4"/>
  <c r="F34" i="4"/>
  <c r="F8" i="5"/>
  <c r="H8" i="5"/>
  <c r="F10" i="5"/>
  <c r="H10" i="5"/>
  <c r="F12" i="5"/>
  <c r="H12" i="5"/>
  <c r="F14" i="5"/>
  <c r="H14" i="5"/>
  <c r="F16" i="5"/>
  <c r="H16" i="5"/>
  <c r="F18" i="5"/>
  <c r="H18" i="5"/>
  <c r="F20" i="5"/>
  <c r="H20" i="5"/>
  <c r="F22" i="5"/>
  <c r="H22" i="5"/>
  <c r="F24" i="5"/>
  <c r="H24" i="5"/>
  <c r="F26" i="5"/>
  <c r="H26" i="5"/>
  <c r="F28" i="5"/>
  <c r="H28" i="5"/>
  <c r="F30" i="5"/>
  <c r="H30" i="5"/>
  <c r="F32" i="5"/>
  <c r="H32" i="5"/>
  <c r="F34" i="5"/>
  <c r="H34" i="5"/>
  <c r="E38" i="5"/>
  <c r="F9" i="6"/>
  <c r="H9" i="6"/>
  <c r="F11" i="6"/>
  <c r="H11" i="6"/>
  <c r="F13" i="6"/>
  <c r="H13" i="6"/>
  <c r="F15" i="6"/>
  <c r="H15" i="6"/>
  <c r="F17" i="6"/>
  <c r="H17" i="6"/>
  <c r="F19" i="6"/>
  <c r="H19" i="6"/>
  <c r="F21" i="6"/>
  <c r="H21" i="6"/>
  <c r="F23" i="6"/>
  <c r="H23" i="6"/>
  <c r="F25" i="6"/>
  <c r="H25" i="6"/>
  <c r="F27" i="6"/>
  <c r="H27" i="6"/>
  <c r="F29" i="6"/>
  <c r="H29" i="6"/>
  <c r="F31" i="6"/>
  <c r="H31" i="6"/>
  <c r="F33" i="6"/>
  <c r="H33" i="6"/>
  <c r="F35" i="6"/>
  <c r="H35" i="6"/>
  <c r="F8" i="7"/>
  <c r="H8" i="7"/>
  <c r="F10" i="7"/>
  <c r="H10" i="7"/>
  <c r="F12" i="7"/>
  <c r="H12" i="7"/>
  <c r="F14" i="7"/>
  <c r="H14" i="7"/>
  <c r="F16" i="7"/>
  <c r="H16" i="7"/>
  <c r="F18" i="7"/>
  <c r="H18" i="7"/>
  <c r="F20" i="7"/>
  <c r="H20" i="7"/>
  <c r="F22" i="7"/>
  <c r="H22" i="7"/>
  <c r="F24" i="7"/>
  <c r="H24" i="7"/>
  <c r="F26" i="7"/>
  <c r="H26" i="7"/>
  <c r="F28" i="7"/>
  <c r="H28" i="7"/>
  <c r="F30" i="7"/>
  <c r="H30" i="7"/>
  <c r="F32" i="7"/>
  <c r="H32" i="7"/>
  <c r="F34" i="7"/>
  <c r="H34" i="7"/>
  <c r="E38" i="7"/>
  <c r="F9" i="8"/>
  <c r="H9" i="8"/>
  <c r="F11" i="8"/>
  <c r="H11" i="8"/>
  <c r="F13" i="8"/>
  <c r="H13" i="8"/>
  <c r="F15" i="8"/>
  <c r="H15" i="8"/>
  <c r="F17" i="8"/>
  <c r="H17" i="8"/>
  <c r="F19" i="8"/>
  <c r="H19" i="8"/>
  <c r="F21" i="8"/>
  <c r="H21" i="8"/>
  <c r="F23" i="8"/>
  <c r="H23" i="8"/>
  <c r="F25" i="8"/>
  <c r="H25" i="8"/>
  <c r="F27" i="8"/>
  <c r="H27" i="8"/>
  <c r="F29" i="8"/>
  <c r="H29" i="8"/>
  <c r="F31" i="8"/>
  <c r="H31" i="8"/>
  <c r="F33" i="8"/>
  <c r="H33" i="8"/>
  <c r="F35" i="8"/>
  <c r="H35" i="8"/>
  <c r="H9" i="5"/>
  <c r="H11" i="5"/>
  <c r="H13" i="5"/>
  <c r="H15" i="5"/>
  <c r="H17" i="5"/>
  <c r="H19" i="5"/>
  <c r="H21" i="5"/>
  <c r="H23" i="5"/>
  <c r="H25" i="5"/>
  <c r="H27" i="5"/>
  <c r="H29" i="5"/>
  <c r="H31" i="5"/>
  <c r="H33" i="5"/>
  <c r="H18" i="6"/>
  <c r="H20" i="6"/>
  <c r="H22" i="6"/>
  <c r="H24" i="6"/>
  <c r="H26" i="6"/>
  <c r="H28" i="6"/>
  <c r="H30" i="6"/>
  <c r="H32" i="6"/>
  <c r="H9" i="7"/>
  <c r="H11" i="7"/>
  <c r="H13" i="7"/>
  <c r="H15" i="7"/>
  <c r="H17" i="7"/>
  <c r="H19" i="7"/>
  <c r="H21" i="7"/>
  <c r="H23" i="7"/>
  <c r="H25" i="7"/>
  <c r="H27" i="7"/>
  <c r="H29" i="7"/>
  <c r="H31" i="7"/>
  <c r="H33" i="7"/>
  <c r="H22" i="8"/>
  <c r="H24" i="8"/>
  <c r="H26" i="8"/>
  <c r="H28" i="8"/>
  <c r="H30" i="8"/>
  <c r="H32" i="8"/>
  <c r="H40" i="6" l="1"/>
  <c r="H41" i="3"/>
  <c r="H39" i="3"/>
  <c r="H40" i="7"/>
  <c r="H38" i="7"/>
  <c r="H39" i="2"/>
  <c r="H41" i="2"/>
  <c r="H38" i="5"/>
  <c r="H40" i="5"/>
  <c r="H38" i="6"/>
  <c r="H40" i="4"/>
  <c r="H38" i="4"/>
  <c r="H40" i="1"/>
  <c r="H38" i="1"/>
  <c r="F38" i="4"/>
  <c r="H38" i="8"/>
  <c r="H40" i="8"/>
  <c r="F38" i="5"/>
  <c r="F38" i="8"/>
  <c r="F38" i="6"/>
  <c r="F38" i="7"/>
  <c r="F39" i="2"/>
  <c r="F38" i="1"/>
  <c r="F39" i="3"/>
</calcChain>
</file>

<file path=xl/sharedStrings.xml><?xml version="1.0" encoding="utf-8"?>
<sst xmlns="http://schemas.openxmlformats.org/spreadsheetml/2006/main" count="172" uniqueCount="44">
  <si>
    <t>Employee Name</t>
  </si>
  <si>
    <t>Yasmeen shaikh</t>
  </si>
  <si>
    <t>Basic Monthly Salary</t>
  </si>
  <si>
    <t>Shift Hours (per day)</t>
  </si>
  <si>
    <t>Working Days in Month (February)</t>
  </si>
  <si>
    <t>Per Day Salary</t>
  </si>
  <si>
    <t>Date</t>
  </si>
  <si>
    <t>In Time</t>
  </si>
  <si>
    <t>Out Time</t>
  </si>
  <si>
    <t>Work Hours</t>
  </si>
  <si>
    <t>Hours (Number)</t>
  </si>
  <si>
    <t>Overtime</t>
  </si>
  <si>
    <t>Short Hours</t>
  </si>
  <si>
    <t>Salary for Day</t>
  </si>
  <si>
    <t>TOTAL</t>
  </si>
  <si>
    <t>Shruti Kate</t>
  </si>
  <si>
    <t>1(sunday)</t>
  </si>
  <si>
    <t>8(sunday)</t>
  </si>
  <si>
    <t>15(sunday)</t>
  </si>
  <si>
    <t>22(sunday)</t>
  </si>
  <si>
    <t>TOTAL – PT(proffesional tax)</t>
  </si>
  <si>
    <t>Mariyam Mushtak Shaikh</t>
  </si>
  <si>
    <t>1(Sunday)</t>
  </si>
  <si>
    <t>8(Sunday)</t>
  </si>
  <si>
    <t>22(Sunday)</t>
  </si>
  <si>
    <t>Sultana shaikh</t>
  </si>
  <si>
    <t>Asifa Shaikh</t>
  </si>
  <si>
    <r>
      <rPr>
        <sz val="11"/>
        <color rgb="FF000000"/>
        <rFont val="Calibri"/>
        <family val="2"/>
        <charset val="1"/>
      </rPr>
      <t>1</t>
    </r>
    <r>
      <rPr>
        <sz val="11"/>
        <color rgb="FF000000"/>
        <rFont val="Calibri"/>
        <family val="2"/>
      </rPr>
      <t>(Sunday)</t>
    </r>
  </si>
  <si>
    <t>15(Sunday)</t>
  </si>
  <si>
    <t>Shamim Shirgaonkar</t>
  </si>
  <si>
    <r>
      <rPr>
        <sz val="11"/>
        <color rgb="FF000000"/>
        <rFont val="Calibri"/>
        <family val="2"/>
        <charset val="1"/>
      </rPr>
      <t>1(</t>
    </r>
    <r>
      <rPr>
        <sz val="11"/>
        <color rgb="FF000000"/>
        <rFont val="Calibri"/>
        <family val="2"/>
      </rPr>
      <t>Sunday)</t>
    </r>
  </si>
  <si>
    <t>Shabnam Shaikh</t>
  </si>
  <si>
    <t>Yogesh Mahadik</t>
  </si>
  <si>
    <t xml:space="preserve"> 15(Sunday)</t>
  </si>
  <si>
    <t>PL Amount</t>
  </si>
  <si>
    <t>28(PL)</t>
  </si>
  <si>
    <t>17 (PL)</t>
  </si>
  <si>
    <t>4 (PL)</t>
  </si>
  <si>
    <t>25 (Absent)</t>
  </si>
  <si>
    <t>26 (Absent)</t>
  </si>
  <si>
    <t>28 (Absent)</t>
  </si>
  <si>
    <t>24 (PL)</t>
  </si>
  <si>
    <t>21 (PL)</t>
  </si>
  <si>
    <t>Conveyance(24x30)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</si>
</sst>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"/>
  </numFmts>
  <fonts count="6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25" zoomScale="95" zoomScaleNormal="95" workbookViewId="0">
      <selection activeCell="K7" sqref="K7"/>
    </sheetView>
  </sheetViews>
  <sheetFormatPr defaultColWidth="8.7109375" defaultRowHeight="15" x14ac:dyDescent="0.25"/>
  <cols>
    <col min="1" max="1" width="20.28515625" style="5" customWidth="1"/>
    <col min="2" max="2" width="15.42578125" style="5" bestFit="1" customWidth="1"/>
    <col min="3" max="3" width="11.85546875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16384" width="8.7109375" style="5"/>
  </cols>
  <sheetData>
    <row r="1" spans="1:8" x14ac:dyDescent="0.25">
      <c r="A1" s="12" t="s">
        <v>0</v>
      </c>
      <c r="B1" s="14" t="s">
        <v>1</v>
      </c>
    </row>
    <row r="2" spans="1:8" x14ac:dyDescent="0.25">
      <c r="A2" s="12" t="s">
        <v>2</v>
      </c>
      <c r="B2" s="5">
        <v>19250</v>
      </c>
    </row>
    <row r="3" spans="1:8" x14ac:dyDescent="0.25">
      <c r="A3" s="12" t="s">
        <v>3</v>
      </c>
      <c r="B3" s="5">
        <v>7</v>
      </c>
    </row>
    <row r="4" spans="1:8" ht="29.25" x14ac:dyDescent="0.25">
      <c r="A4" s="13" t="s">
        <v>4</v>
      </c>
      <c r="B4" s="5">
        <v>30</v>
      </c>
    </row>
    <row r="5" spans="1:8" x14ac:dyDescent="0.25">
      <c r="A5" s="12" t="s">
        <v>5</v>
      </c>
      <c r="B5" s="5">
        <f>B2/B4</f>
        <v>641.66666666666663</v>
      </c>
    </row>
    <row r="7" spans="1:8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8" x14ac:dyDescent="0.25">
      <c r="A8" s="2" t="s">
        <v>16</v>
      </c>
      <c r="B8" s="3">
        <v>0.41666666666666669</v>
      </c>
      <c r="C8" s="3">
        <v>0.70833333333333304</v>
      </c>
      <c r="D8" s="4">
        <f t="shared" ref="D8:D35" si="0">IF(C8&lt;B8,C8+1,C8)-B8</f>
        <v>0.29166666666666635</v>
      </c>
      <c r="E8" s="5">
        <f t="shared" ref="E8:E35" si="1">D8*24</f>
        <v>6.9999999999999929</v>
      </c>
      <c r="F8" s="5">
        <f t="shared" ref="F8:F35" si="2">IF(E8&gt;$B$3,E8-$B$3,0)</f>
        <v>0</v>
      </c>
      <c r="G8" s="5">
        <f t="shared" ref="G8:G35" si="3">IF(E8&lt;$B$3,$B$3-E8,0)</f>
        <v>7.1054273576010019E-15</v>
      </c>
      <c r="H8" s="5">
        <f t="shared" ref="H8:H35" si="4">$B$5*(E8/$B$3)</f>
        <v>641.66666666666595</v>
      </c>
    </row>
    <row r="9" spans="1:8" x14ac:dyDescent="0.25">
      <c r="A9" s="5">
        <v>2</v>
      </c>
      <c r="B9" s="3">
        <v>0.375</v>
      </c>
      <c r="C9" s="3">
        <v>0.70833333333333304</v>
      </c>
      <c r="D9" s="4">
        <f t="shared" si="0"/>
        <v>0.33333333333333304</v>
      </c>
      <c r="E9" s="5">
        <f t="shared" si="1"/>
        <v>7.9999999999999929</v>
      </c>
      <c r="F9" s="5">
        <f t="shared" si="2"/>
        <v>0.99999999999999289</v>
      </c>
      <c r="G9" s="5">
        <f t="shared" si="3"/>
        <v>0</v>
      </c>
      <c r="H9" s="5">
        <f t="shared" si="4"/>
        <v>733.33333333333269</v>
      </c>
    </row>
    <row r="10" spans="1:8" x14ac:dyDescent="0.25">
      <c r="A10" s="5">
        <v>3</v>
      </c>
      <c r="B10" s="3">
        <v>0.41666666666666669</v>
      </c>
      <c r="C10" s="3">
        <v>0.70833333333333304</v>
      </c>
      <c r="D10" s="4">
        <f t="shared" si="0"/>
        <v>0.29166666666666635</v>
      </c>
      <c r="E10" s="5">
        <f t="shared" si="1"/>
        <v>6.9999999999999929</v>
      </c>
      <c r="F10" s="5">
        <f t="shared" si="2"/>
        <v>0</v>
      </c>
      <c r="G10" s="5">
        <f t="shared" si="3"/>
        <v>7.1054273576010019E-15</v>
      </c>
      <c r="H10" s="5">
        <f t="shared" si="4"/>
        <v>641.66666666666595</v>
      </c>
    </row>
    <row r="11" spans="1:8" x14ac:dyDescent="0.25">
      <c r="A11" s="5">
        <v>4</v>
      </c>
      <c r="B11" s="3">
        <v>0.41666666666666669</v>
      </c>
      <c r="C11" s="3">
        <v>0.70833333333333304</v>
      </c>
      <c r="D11" s="4">
        <f t="shared" si="0"/>
        <v>0.29166666666666635</v>
      </c>
      <c r="E11" s="5">
        <f t="shared" si="1"/>
        <v>6.9999999999999929</v>
      </c>
      <c r="F11" s="5">
        <f t="shared" si="2"/>
        <v>0</v>
      </c>
      <c r="G11" s="5">
        <f t="shared" si="3"/>
        <v>7.1054273576010019E-15</v>
      </c>
      <c r="H11" s="5">
        <f t="shared" si="4"/>
        <v>641.66666666666595</v>
      </c>
    </row>
    <row r="12" spans="1:8" x14ac:dyDescent="0.25">
      <c r="A12" s="5">
        <v>5</v>
      </c>
      <c r="B12" s="3">
        <v>0.375</v>
      </c>
      <c r="C12" s="3">
        <v>0.70833333333333304</v>
      </c>
      <c r="D12" s="4">
        <f t="shared" si="0"/>
        <v>0.33333333333333304</v>
      </c>
      <c r="E12" s="5">
        <f t="shared" si="1"/>
        <v>7.9999999999999929</v>
      </c>
      <c r="F12" s="5">
        <f t="shared" si="2"/>
        <v>0.99999999999999289</v>
      </c>
      <c r="G12" s="5">
        <f t="shared" si="3"/>
        <v>0</v>
      </c>
      <c r="H12" s="5">
        <f t="shared" si="4"/>
        <v>733.33333333333269</v>
      </c>
    </row>
    <row r="13" spans="1:8" x14ac:dyDescent="0.25">
      <c r="A13" s="5">
        <v>6</v>
      </c>
      <c r="B13" s="3">
        <v>0.41666666666666669</v>
      </c>
      <c r="C13" s="3">
        <v>0.74722222222222223</v>
      </c>
      <c r="D13" s="4">
        <f t="shared" si="0"/>
        <v>0.33055555555555555</v>
      </c>
      <c r="E13" s="5">
        <f t="shared" si="1"/>
        <v>7.9333333333333336</v>
      </c>
      <c r="F13" s="5">
        <f t="shared" si="2"/>
        <v>0.93333333333333357</v>
      </c>
      <c r="G13" s="5">
        <f t="shared" si="3"/>
        <v>0</v>
      </c>
      <c r="H13" s="5">
        <f t="shared" si="4"/>
        <v>727.22222222222217</v>
      </c>
    </row>
    <row r="14" spans="1:8" x14ac:dyDescent="0.25">
      <c r="A14" s="5">
        <v>7</v>
      </c>
      <c r="B14" s="3">
        <v>0.41666666666666669</v>
      </c>
      <c r="C14" s="3">
        <v>0.70833333333333304</v>
      </c>
      <c r="D14" s="4">
        <f t="shared" si="0"/>
        <v>0.29166666666666635</v>
      </c>
      <c r="E14" s="5">
        <f t="shared" si="1"/>
        <v>6.9999999999999929</v>
      </c>
      <c r="F14" s="5">
        <f t="shared" si="2"/>
        <v>0</v>
      </c>
      <c r="G14" s="5">
        <f t="shared" si="3"/>
        <v>7.1054273576010019E-15</v>
      </c>
      <c r="H14" s="5">
        <f t="shared" si="4"/>
        <v>641.66666666666595</v>
      </c>
    </row>
    <row r="15" spans="1:8" x14ac:dyDescent="0.25">
      <c r="A15" s="2" t="s">
        <v>17</v>
      </c>
      <c r="B15" s="3">
        <v>0.41666666666666669</v>
      </c>
      <c r="C15" s="3">
        <v>0.70833333333333304</v>
      </c>
      <c r="D15" s="4">
        <f t="shared" si="0"/>
        <v>0.29166666666666635</v>
      </c>
      <c r="E15" s="5">
        <f t="shared" si="1"/>
        <v>6.9999999999999929</v>
      </c>
      <c r="F15" s="5">
        <f t="shared" si="2"/>
        <v>0</v>
      </c>
      <c r="G15" s="5">
        <f t="shared" si="3"/>
        <v>7.1054273576010019E-15</v>
      </c>
      <c r="H15" s="5">
        <f t="shared" si="4"/>
        <v>641.66666666666595</v>
      </c>
    </row>
    <row r="16" spans="1:8" x14ac:dyDescent="0.25">
      <c r="A16" s="5">
        <v>9</v>
      </c>
      <c r="B16" s="3">
        <v>0.37638888888888888</v>
      </c>
      <c r="C16" s="3">
        <v>0.7583333333333333</v>
      </c>
      <c r="D16" s="4">
        <f t="shared" si="0"/>
        <v>0.38194444444444442</v>
      </c>
      <c r="E16" s="5">
        <f t="shared" si="1"/>
        <v>9.1666666666666661</v>
      </c>
      <c r="F16" s="5">
        <f t="shared" si="2"/>
        <v>2.1666666666666661</v>
      </c>
      <c r="G16" s="5">
        <f t="shared" si="3"/>
        <v>0</v>
      </c>
      <c r="H16" s="5">
        <f t="shared" si="4"/>
        <v>840.27777777777771</v>
      </c>
    </row>
    <row r="17" spans="1:8" x14ac:dyDescent="0.25">
      <c r="A17" s="5">
        <v>10</v>
      </c>
      <c r="B17" s="3">
        <v>0.41388888888888892</v>
      </c>
      <c r="C17" s="3">
        <v>0.70833333333333304</v>
      </c>
      <c r="D17" s="4">
        <f t="shared" si="0"/>
        <v>0.29444444444444412</v>
      </c>
      <c r="E17" s="5">
        <f t="shared" si="1"/>
        <v>7.0666666666666593</v>
      </c>
      <c r="F17" s="5">
        <f t="shared" si="2"/>
        <v>6.6666666666659324E-2</v>
      </c>
      <c r="G17" s="5">
        <f t="shared" si="3"/>
        <v>0</v>
      </c>
      <c r="H17" s="5">
        <f t="shared" si="4"/>
        <v>647.77777777777703</v>
      </c>
    </row>
    <row r="18" spans="1:8" x14ac:dyDescent="0.25">
      <c r="A18" s="5">
        <v>11</v>
      </c>
      <c r="B18" s="3">
        <v>0.39305555555555555</v>
      </c>
      <c r="C18" s="3">
        <v>0.70694444444444438</v>
      </c>
      <c r="D18" s="4">
        <f t="shared" si="0"/>
        <v>0.31388888888888883</v>
      </c>
      <c r="E18" s="5">
        <f t="shared" si="1"/>
        <v>7.5333333333333314</v>
      </c>
      <c r="F18" s="5">
        <f t="shared" si="2"/>
        <v>0.53333333333333144</v>
      </c>
      <c r="G18" s="5">
        <f t="shared" si="3"/>
        <v>0</v>
      </c>
      <c r="H18" s="5">
        <f t="shared" si="4"/>
        <v>690.55555555555532</v>
      </c>
    </row>
    <row r="19" spans="1:8" x14ac:dyDescent="0.25">
      <c r="A19" s="5">
        <v>12</v>
      </c>
      <c r="B19" s="3">
        <v>0.38055555555555554</v>
      </c>
      <c r="C19" s="3">
        <v>0.71388888888888891</v>
      </c>
      <c r="D19" s="4">
        <f t="shared" si="0"/>
        <v>0.33333333333333337</v>
      </c>
      <c r="E19" s="5">
        <f t="shared" si="1"/>
        <v>8</v>
      </c>
      <c r="F19" s="5">
        <f t="shared" si="2"/>
        <v>1</v>
      </c>
      <c r="G19" s="5">
        <f t="shared" si="3"/>
        <v>0</v>
      </c>
      <c r="H19" s="5">
        <f t="shared" si="4"/>
        <v>733.33333333333326</v>
      </c>
    </row>
    <row r="20" spans="1:8" x14ac:dyDescent="0.25">
      <c r="A20" s="5">
        <v>13</v>
      </c>
      <c r="B20" s="3">
        <v>0.40277777777777773</v>
      </c>
      <c r="C20" s="3">
        <v>0.70138888888888884</v>
      </c>
      <c r="D20" s="4">
        <f t="shared" si="0"/>
        <v>0.2986111111111111</v>
      </c>
      <c r="E20" s="5">
        <f t="shared" si="1"/>
        <v>7.1666666666666661</v>
      </c>
      <c r="F20" s="5">
        <f t="shared" si="2"/>
        <v>0.16666666666666607</v>
      </c>
      <c r="G20" s="5">
        <f t="shared" si="3"/>
        <v>0</v>
      </c>
      <c r="H20" s="5">
        <f t="shared" si="4"/>
        <v>656.94444444444434</v>
      </c>
    </row>
    <row r="21" spans="1:8" x14ac:dyDescent="0.25">
      <c r="A21" s="5">
        <v>14</v>
      </c>
      <c r="B21" s="3">
        <v>0.40208333333333335</v>
      </c>
      <c r="C21" s="3">
        <v>0.69652777777777775</v>
      </c>
      <c r="D21" s="4">
        <f t="shared" si="0"/>
        <v>0.2944444444444444</v>
      </c>
      <c r="E21" s="5">
        <f t="shared" si="1"/>
        <v>7.0666666666666655</v>
      </c>
      <c r="F21" s="5">
        <f t="shared" si="2"/>
        <v>6.6666666666665542E-2</v>
      </c>
      <c r="G21" s="5">
        <f t="shared" si="3"/>
        <v>0</v>
      </c>
      <c r="H21" s="5">
        <f t="shared" si="4"/>
        <v>647.7777777777776</v>
      </c>
    </row>
    <row r="22" spans="1:8" x14ac:dyDescent="0.25">
      <c r="A22" s="2" t="s">
        <v>18</v>
      </c>
      <c r="B22" s="3">
        <v>0.41666666666666669</v>
      </c>
      <c r="C22" s="3">
        <v>0.70833333333333304</v>
      </c>
      <c r="D22" s="4">
        <f t="shared" si="0"/>
        <v>0.29166666666666635</v>
      </c>
      <c r="E22" s="5">
        <f t="shared" si="1"/>
        <v>6.9999999999999929</v>
      </c>
      <c r="F22" s="5">
        <f t="shared" si="2"/>
        <v>0</v>
      </c>
      <c r="G22" s="5">
        <f t="shared" si="3"/>
        <v>7.1054273576010019E-15</v>
      </c>
      <c r="H22" s="5">
        <f t="shared" si="4"/>
        <v>641.66666666666595</v>
      </c>
    </row>
    <row r="23" spans="1:8" x14ac:dyDescent="0.25">
      <c r="A23" s="5">
        <v>16</v>
      </c>
      <c r="B23" s="3">
        <v>0.38819444444444445</v>
      </c>
      <c r="C23" s="3">
        <v>0.71458333333333324</v>
      </c>
      <c r="D23" s="4">
        <f t="shared" si="0"/>
        <v>0.32638888888888878</v>
      </c>
      <c r="E23" s="5">
        <f t="shared" si="1"/>
        <v>7.8333333333333304</v>
      </c>
      <c r="F23" s="5">
        <f t="shared" si="2"/>
        <v>0.83333333333333037</v>
      </c>
      <c r="G23" s="5">
        <f t="shared" si="3"/>
        <v>0</v>
      </c>
      <c r="H23" s="5">
        <f t="shared" si="4"/>
        <v>718.0555555555552</v>
      </c>
    </row>
    <row r="24" spans="1:8" x14ac:dyDescent="0.25">
      <c r="A24" s="5">
        <v>17</v>
      </c>
      <c r="B24" s="3">
        <v>0.40208333333333335</v>
      </c>
      <c r="C24" s="3">
        <v>0.73819444444444438</v>
      </c>
      <c r="D24" s="4">
        <f t="shared" si="0"/>
        <v>0.33611111111111103</v>
      </c>
      <c r="E24" s="5">
        <f t="shared" si="1"/>
        <v>8.0666666666666647</v>
      </c>
      <c r="F24" s="5">
        <f t="shared" si="2"/>
        <v>1.0666666666666647</v>
      </c>
      <c r="G24" s="5">
        <f t="shared" si="3"/>
        <v>0</v>
      </c>
      <c r="H24" s="5">
        <f t="shared" si="4"/>
        <v>739.44444444444423</v>
      </c>
    </row>
    <row r="25" spans="1:8" x14ac:dyDescent="0.25">
      <c r="A25" s="5">
        <v>18</v>
      </c>
      <c r="B25" s="3">
        <v>0.41250000000000003</v>
      </c>
      <c r="C25" s="3">
        <v>0.66180555555555554</v>
      </c>
      <c r="D25" s="4">
        <f t="shared" si="0"/>
        <v>0.2493055555555555</v>
      </c>
      <c r="E25" s="5">
        <f t="shared" si="1"/>
        <v>5.9833333333333325</v>
      </c>
      <c r="F25" s="5">
        <f t="shared" si="2"/>
        <v>0</v>
      </c>
      <c r="G25" s="5">
        <f t="shared" si="3"/>
        <v>1.0166666666666675</v>
      </c>
      <c r="H25" s="5">
        <f t="shared" si="4"/>
        <v>548.47222222222206</v>
      </c>
    </row>
    <row r="26" spans="1:8" x14ac:dyDescent="0.25">
      <c r="A26" s="5">
        <v>19</v>
      </c>
      <c r="B26" s="3">
        <v>0.41875000000000001</v>
      </c>
      <c r="C26" s="3">
        <v>0.71111111111111114</v>
      </c>
      <c r="D26" s="4">
        <f t="shared" si="0"/>
        <v>0.29236111111111113</v>
      </c>
      <c r="E26" s="5">
        <f t="shared" si="1"/>
        <v>7.0166666666666675</v>
      </c>
      <c r="F26" s="5">
        <f t="shared" si="2"/>
        <v>1.6666666666667496E-2</v>
      </c>
      <c r="G26" s="5">
        <f t="shared" si="3"/>
        <v>0</v>
      </c>
      <c r="H26" s="5">
        <f t="shared" si="4"/>
        <v>643.19444444444457</v>
      </c>
    </row>
    <row r="27" spans="1:8" x14ac:dyDescent="0.25">
      <c r="A27" s="5">
        <v>20</v>
      </c>
      <c r="B27" s="3">
        <v>0.41597222222222219</v>
      </c>
      <c r="C27" s="3">
        <v>0.70763888888888893</v>
      </c>
      <c r="D27" s="4">
        <f t="shared" si="0"/>
        <v>0.29166666666666674</v>
      </c>
      <c r="E27" s="5">
        <f t="shared" si="1"/>
        <v>7.0000000000000018</v>
      </c>
      <c r="F27" s="5">
        <f t="shared" si="2"/>
        <v>0</v>
      </c>
      <c r="G27" s="5">
        <f t="shared" si="3"/>
        <v>0</v>
      </c>
      <c r="H27" s="5">
        <f t="shared" si="4"/>
        <v>641.66666666666674</v>
      </c>
    </row>
    <row r="28" spans="1:8" x14ac:dyDescent="0.25">
      <c r="A28" s="5" t="s">
        <v>42</v>
      </c>
      <c r="B28" s="3">
        <v>0.41666666666666669</v>
      </c>
      <c r="C28" s="3">
        <v>0.70833333333333304</v>
      </c>
      <c r="D28" s="4">
        <f t="shared" si="0"/>
        <v>0.29166666666666635</v>
      </c>
      <c r="E28" s="5">
        <f t="shared" si="1"/>
        <v>6.9999999999999929</v>
      </c>
      <c r="F28" s="5">
        <f t="shared" si="2"/>
        <v>0</v>
      </c>
      <c r="G28" s="5">
        <f t="shared" si="3"/>
        <v>7.1054273576010019E-15</v>
      </c>
      <c r="H28" s="5">
        <f t="shared" si="4"/>
        <v>641.66666666666595</v>
      </c>
    </row>
    <row r="29" spans="1:8" x14ac:dyDescent="0.25">
      <c r="A29" s="2" t="s">
        <v>19</v>
      </c>
      <c r="B29" s="3">
        <v>0.41666666666666669</v>
      </c>
      <c r="C29" s="3">
        <v>0.70833333333333304</v>
      </c>
      <c r="D29" s="4">
        <f t="shared" si="0"/>
        <v>0.29166666666666635</v>
      </c>
      <c r="E29" s="5">
        <f t="shared" si="1"/>
        <v>6.9999999999999929</v>
      </c>
      <c r="F29" s="5">
        <f t="shared" si="2"/>
        <v>0</v>
      </c>
      <c r="G29" s="5">
        <f t="shared" si="3"/>
        <v>7.1054273576010019E-15</v>
      </c>
      <c r="H29" s="5">
        <f t="shared" si="4"/>
        <v>641.66666666666595</v>
      </c>
    </row>
    <row r="30" spans="1:8" x14ac:dyDescent="0.25">
      <c r="A30" s="5">
        <v>23</v>
      </c>
      <c r="B30" s="3">
        <v>0.41180555555555554</v>
      </c>
      <c r="C30" s="3">
        <v>0.70833333333333304</v>
      </c>
      <c r="D30" s="4">
        <f t="shared" si="0"/>
        <v>0.2965277777777775</v>
      </c>
      <c r="E30" s="5">
        <f t="shared" si="1"/>
        <v>7.11666666666666</v>
      </c>
      <c r="F30" s="5">
        <f t="shared" si="2"/>
        <v>0.11666666666666003</v>
      </c>
      <c r="G30" s="5">
        <f t="shared" si="3"/>
        <v>0</v>
      </c>
      <c r="H30" s="5">
        <f t="shared" si="4"/>
        <v>652.36111111111052</v>
      </c>
    </row>
    <row r="31" spans="1:8" x14ac:dyDescent="0.25">
      <c r="A31" s="5">
        <v>24</v>
      </c>
      <c r="B31" s="3">
        <v>0.4069444444444445</v>
      </c>
      <c r="C31" s="3">
        <v>0.70833333333333304</v>
      </c>
      <c r="D31" s="4">
        <f t="shared" si="0"/>
        <v>0.30138888888888854</v>
      </c>
      <c r="E31" s="5">
        <f t="shared" si="1"/>
        <v>7.2333333333333254</v>
      </c>
      <c r="F31" s="5">
        <f t="shared" si="2"/>
        <v>0.2333333333333254</v>
      </c>
      <c r="G31" s="5">
        <f t="shared" si="3"/>
        <v>0</v>
      </c>
      <c r="H31" s="5">
        <f t="shared" si="4"/>
        <v>663.05555555555475</v>
      </c>
    </row>
    <row r="32" spans="1:8" x14ac:dyDescent="0.25">
      <c r="A32" s="5">
        <v>25</v>
      </c>
      <c r="B32" s="3">
        <v>0.40208333333333335</v>
      </c>
      <c r="C32" s="3">
        <v>0.6972222222222223</v>
      </c>
      <c r="D32" s="4">
        <f t="shared" si="0"/>
        <v>0.29513888888888895</v>
      </c>
      <c r="E32" s="5">
        <f t="shared" si="1"/>
        <v>7.0833333333333348</v>
      </c>
      <c r="F32" s="5">
        <f t="shared" si="2"/>
        <v>8.3333333333334814E-2</v>
      </c>
      <c r="G32" s="5">
        <f t="shared" si="3"/>
        <v>0</v>
      </c>
      <c r="H32" s="5">
        <f t="shared" si="4"/>
        <v>649.30555555555566</v>
      </c>
    </row>
    <row r="33" spans="1:8" x14ac:dyDescent="0.25">
      <c r="A33" s="5">
        <v>26</v>
      </c>
      <c r="B33" s="3">
        <v>0.41250000000000003</v>
      </c>
      <c r="C33" s="3">
        <v>0.59097222222222223</v>
      </c>
      <c r="D33" s="4">
        <f t="shared" si="0"/>
        <v>0.1784722222222222</v>
      </c>
      <c r="E33" s="5">
        <f t="shared" si="1"/>
        <v>4.2833333333333332</v>
      </c>
      <c r="F33" s="5">
        <f t="shared" si="2"/>
        <v>0</v>
      </c>
      <c r="G33" s="5">
        <f t="shared" si="3"/>
        <v>2.7166666666666668</v>
      </c>
      <c r="H33" s="5">
        <f t="shared" si="4"/>
        <v>392.6388888888888</v>
      </c>
    </row>
    <row r="34" spans="1:8" x14ac:dyDescent="0.25">
      <c r="A34" s="5">
        <v>27</v>
      </c>
      <c r="B34" s="3">
        <v>0.41597222222222219</v>
      </c>
      <c r="C34" s="3">
        <v>0.70694444444444438</v>
      </c>
      <c r="D34" s="4">
        <f t="shared" si="0"/>
        <v>0.29097222222222219</v>
      </c>
      <c r="E34" s="5">
        <f t="shared" si="1"/>
        <v>6.9833333333333325</v>
      </c>
      <c r="F34" s="5">
        <f t="shared" si="2"/>
        <v>0</v>
      </c>
      <c r="G34" s="5">
        <f t="shared" si="3"/>
        <v>1.6666666666667496E-2</v>
      </c>
      <c r="H34" s="5">
        <f t="shared" si="4"/>
        <v>640.1388888888888</v>
      </c>
    </row>
    <row r="35" spans="1:8" x14ac:dyDescent="0.25">
      <c r="A35" s="5">
        <v>28</v>
      </c>
      <c r="B35" s="3">
        <v>0.41597222222222219</v>
      </c>
      <c r="C35" s="3">
        <v>0.71666666666666667</v>
      </c>
      <c r="D35" s="4">
        <f t="shared" si="0"/>
        <v>0.30069444444444449</v>
      </c>
      <c r="E35" s="5">
        <f t="shared" si="1"/>
        <v>7.2166666666666677</v>
      </c>
      <c r="F35" s="5">
        <f t="shared" si="2"/>
        <v>0.21666666666666767</v>
      </c>
      <c r="G35" s="5">
        <f t="shared" si="3"/>
        <v>0</v>
      </c>
      <c r="H35" s="5">
        <f t="shared" si="4"/>
        <v>661.52777777777783</v>
      </c>
    </row>
    <row r="36" spans="1:8" x14ac:dyDescent="0.25">
      <c r="A36" s="5">
        <v>29</v>
      </c>
      <c r="B36" s="3">
        <v>0.41666666666666669</v>
      </c>
      <c r="C36" s="3">
        <v>0.70833333333333304</v>
      </c>
      <c r="D36" s="4">
        <f t="shared" ref="D36:D37" si="5">IF(C36&lt;B36,C36+1,C36)-B36</f>
        <v>0.29166666666666635</v>
      </c>
      <c r="E36" s="5">
        <f t="shared" ref="E36:E37" si="6">D36*24</f>
        <v>6.9999999999999929</v>
      </c>
      <c r="F36" s="5">
        <f t="shared" ref="F36:F37" si="7">IF(E36&gt;$B$3,E36-$B$3,0)</f>
        <v>0</v>
      </c>
      <c r="G36" s="5">
        <f t="shared" ref="G36:G37" si="8">IF(E36&lt;$B$3,$B$3-E36,0)</f>
        <v>7.1054273576010019E-15</v>
      </c>
      <c r="H36" s="5">
        <f t="shared" ref="H36:H37" si="9">$B$5*(E36/$B$3)</f>
        <v>641.66666666666595</v>
      </c>
    </row>
    <row r="37" spans="1:8" x14ac:dyDescent="0.25">
      <c r="A37" s="5">
        <v>30</v>
      </c>
      <c r="B37" s="3">
        <v>0.41666666666666669</v>
      </c>
      <c r="C37" s="3">
        <v>0.70833333333333304</v>
      </c>
      <c r="D37" s="4">
        <f t="shared" si="5"/>
        <v>0.29166666666666635</v>
      </c>
      <c r="E37" s="5">
        <f t="shared" si="6"/>
        <v>6.9999999999999929</v>
      </c>
      <c r="F37" s="5">
        <f t="shared" si="7"/>
        <v>0</v>
      </c>
      <c r="G37" s="5">
        <f t="shared" si="8"/>
        <v>7.1054273576010019E-15</v>
      </c>
      <c r="H37" s="5">
        <f t="shared" si="9"/>
        <v>641.66666666666595</v>
      </c>
    </row>
    <row r="38" spans="1:8" x14ac:dyDescent="0.25">
      <c r="A38" s="1" t="s">
        <v>14</v>
      </c>
      <c r="E38" s="5">
        <f>SUM(E8:E35)</f>
        <v>201.74999999999991</v>
      </c>
      <c r="F38" s="5">
        <f>SUM(F8:F35)</f>
        <v>9.4999999999999609</v>
      </c>
      <c r="H38" s="5">
        <f>SUM(H8:H37)</f>
        <v>19777.083333333321</v>
      </c>
    </row>
    <row r="40" spans="1:8" s="7" customFormat="1" x14ac:dyDescent="0.25">
      <c r="A40" s="8" t="s">
        <v>20</v>
      </c>
      <c r="H40" s="7">
        <f>SUM(H8:H37)-200</f>
        <v>19577.083333333321</v>
      </c>
    </row>
  </sheetData>
  <pageMargins left="0.75" right="0.75" top="1" bottom="1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28" zoomScale="95" zoomScaleNormal="95" workbookViewId="0">
      <selection activeCell="G43" sqref="G43"/>
    </sheetView>
  </sheetViews>
  <sheetFormatPr defaultColWidth="8.7109375" defaultRowHeight="15" x14ac:dyDescent="0.25"/>
  <cols>
    <col min="1" max="1" width="20.42578125" style="5" customWidth="1"/>
    <col min="2" max="2" width="12.42578125" style="5" customWidth="1"/>
    <col min="3" max="3" width="11.85546875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16384" width="8.7109375" style="5"/>
  </cols>
  <sheetData>
    <row r="1" spans="1:8" x14ac:dyDescent="0.25">
      <c r="A1" s="12" t="s">
        <v>0</v>
      </c>
      <c r="B1" s="9" t="s">
        <v>15</v>
      </c>
    </row>
    <row r="2" spans="1:8" x14ac:dyDescent="0.25">
      <c r="A2" s="12" t="s">
        <v>2</v>
      </c>
      <c r="B2" s="5">
        <v>15400</v>
      </c>
    </row>
    <row r="3" spans="1:8" x14ac:dyDescent="0.25">
      <c r="A3" s="12" t="s">
        <v>3</v>
      </c>
      <c r="B3" s="5">
        <v>8</v>
      </c>
    </row>
    <row r="4" spans="1:8" ht="29.25" x14ac:dyDescent="0.25">
      <c r="A4" s="13" t="s">
        <v>4</v>
      </c>
      <c r="B4" s="5">
        <v>30</v>
      </c>
    </row>
    <row r="5" spans="1:8" x14ac:dyDescent="0.25">
      <c r="A5" s="12" t="s">
        <v>5</v>
      </c>
      <c r="B5" s="5">
        <f>B2/B4</f>
        <v>513.33333333333337</v>
      </c>
    </row>
    <row r="7" spans="1:8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8" x14ac:dyDescent="0.25">
      <c r="A8" s="2" t="s">
        <v>16</v>
      </c>
      <c r="B8" s="3">
        <v>0.375</v>
      </c>
      <c r="C8" s="3">
        <v>0.70833333333333304</v>
      </c>
      <c r="D8" s="4">
        <f t="shared" ref="D8:D35" si="0">IF(C8&lt;B8,C8+1,C8)-B8</f>
        <v>0.33333333333333304</v>
      </c>
      <c r="E8" s="5">
        <f t="shared" ref="E8:E38" si="1">D8*24</f>
        <v>7.9999999999999929</v>
      </c>
      <c r="F8" s="5">
        <f t="shared" ref="F8:F38" si="2">IF(E8&gt;$B$3,E8-$B$3,0)</f>
        <v>0</v>
      </c>
      <c r="G8" s="5">
        <f t="shared" ref="G8:G35" si="3">IF(E8&lt;$B$3,$B$3-E8,0)</f>
        <v>7.1054273576010019E-15</v>
      </c>
      <c r="H8" s="5">
        <f t="shared" ref="H8:H35" si="4">$B$5*(E8/$B$3)</f>
        <v>513.33333333333292</v>
      </c>
    </row>
    <row r="9" spans="1:8" x14ac:dyDescent="0.25">
      <c r="A9" s="5">
        <v>2</v>
      </c>
      <c r="B9" s="3">
        <v>0.35416666666666702</v>
      </c>
      <c r="C9" s="3">
        <v>0.73958333333333304</v>
      </c>
      <c r="D9" s="4">
        <f t="shared" si="0"/>
        <v>0.38541666666666602</v>
      </c>
      <c r="E9" s="5">
        <f t="shared" si="1"/>
        <v>9.249999999999984</v>
      </c>
      <c r="F9" s="5">
        <f t="shared" si="2"/>
        <v>1.249999999999984</v>
      </c>
      <c r="G9" s="5">
        <f t="shared" si="3"/>
        <v>0</v>
      </c>
      <c r="H9" s="5">
        <f t="shared" si="4"/>
        <v>593.54166666666572</v>
      </c>
    </row>
    <row r="10" spans="1:8" x14ac:dyDescent="0.25">
      <c r="A10" s="5">
        <v>3</v>
      </c>
      <c r="B10" s="3">
        <v>0.375</v>
      </c>
      <c r="C10" s="3">
        <v>0.71527777777777801</v>
      </c>
      <c r="D10" s="4">
        <f t="shared" si="0"/>
        <v>0.34027777777777801</v>
      </c>
      <c r="E10" s="5">
        <f t="shared" si="1"/>
        <v>8.1666666666666714</v>
      </c>
      <c r="F10" s="5">
        <f t="shared" si="2"/>
        <v>0.1666666666666714</v>
      </c>
      <c r="G10" s="5">
        <f t="shared" si="3"/>
        <v>0</v>
      </c>
      <c r="H10" s="5">
        <f t="shared" si="4"/>
        <v>524.02777777777817</v>
      </c>
    </row>
    <row r="11" spans="1:8" x14ac:dyDescent="0.25">
      <c r="A11" s="5">
        <v>4</v>
      </c>
      <c r="B11" s="3">
        <v>0.34722222222222199</v>
      </c>
      <c r="C11" s="3">
        <v>0.72916666666666696</v>
      </c>
      <c r="D11" s="4">
        <f t="shared" si="0"/>
        <v>0.38194444444444497</v>
      </c>
      <c r="E11" s="5">
        <f t="shared" si="1"/>
        <v>9.1666666666666785</v>
      </c>
      <c r="F11" s="5">
        <f t="shared" si="2"/>
        <v>1.1666666666666785</v>
      </c>
      <c r="G11" s="5">
        <f t="shared" si="3"/>
        <v>0</v>
      </c>
      <c r="H11" s="5">
        <f t="shared" si="4"/>
        <v>588.19444444444525</v>
      </c>
    </row>
    <row r="12" spans="1:8" x14ac:dyDescent="0.25">
      <c r="A12" s="5">
        <v>5</v>
      </c>
      <c r="B12" s="3">
        <v>0.35416666666666702</v>
      </c>
      <c r="C12" s="3">
        <v>0.73958333333333304</v>
      </c>
      <c r="D12" s="4">
        <f t="shared" si="0"/>
        <v>0.38541666666666602</v>
      </c>
      <c r="E12" s="5">
        <f t="shared" si="1"/>
        <v>9.249999999999984</v>
      </c>
      <c r="F12" s="5">
        <f t="shared" si="2"/>
        <v>1.249999999999984</v>
      </c>
      <c r="G12" s="5">
        <f t="shared" si="3"/>
        <v>0</v>
      </c>
      <c r="H12" s="5">
        <f t="shared" si="4"/>
        <v>593.54166666666572</v>
      </c>
    </row>
    <row r="13" spans="1:8" x14ac:dyDescent="0.25">
      <c r="A13" s="5">
        <v>6</v>
      </c>
      <c r="B13" s="3">
        <v>0.38194444444444398</v>
      </c>
      <c r="C13" s="3">
        <v>0.71527777777777801</v>
      </c>
      <c r="D13" s="4">
        <f t="shared" si="0"/>
        <v>0.33333333333333404</v>
      </c>
      <c r="E13" s="5">
        <f t="shared" si="1"/>
        <v>8.0000000000000178</v>
      </c>
      <c r="F13" s="5">
        <f t="shared" si="2"/>
        <v>1.7763568394002505E-14</v>
      </c>
      <c r="G13" s="5">
        <f t="shared" si="3"/>
        <v>0</v>
      </c>
      <c r="H13" s="5">
        <f t="shared" si="4"/>
        <v>513.33333333333451</v>
      </c>
    </row>
    <row r="14" spans="1:8" x14ac:dyDescent="0.25">
      <c r="A14" s="5">
        <v>7</v>
      </c>
      <c r="B14" s="3">
        <v>0.34375</v>
      </c>
      <c r="C14" s="3">
        <v>0.75624999999999998</v>
      </c>
      <c r="D14" s="4">
        <f t="shared" si="0"/>
        <v>0.41249999999999998</v>
      </c>
      <c r="E14" s="5">
        <f t="shared" si="1"/>
        <v>9.8999999999999986</v>
      </c>
      <c r="F14" s="5">
        <f t="shared" si="2"/>
        <v>1.8999999999999986</v>
      </c>
      <c r="G14" s="5">
        <f t="shared" si="3"/>
        <v>0</v>
      </c>
      <c r="H14" s="5">
        <f t="shared" si="4"/>
        <v>635.25</v>
      </c>
    </row>
    <row r="15" spans="1:8" x14ac:dyDescent="0.25">
      <c r="A15" s="2" t="s">
        <v>17</v>
      </c>
      <c r="B15" s="3">
        <v>0.375</v>
      </c>
      <c r="C15" s="3">
        <v>0.70833333333333304</v>
      </c>
      <c r="D15" s="4">
        <f t="shared" si="0"/>
        <v>0.33333333333333304</v>
      </c>
      <c r="E15" s="5">
        <f t="shared" si="1"/>
        <v>7.9999999999999929</v>
      </c>
      <c r="F15" s="5">
        <f t="shared" si="2"/>
        <v>0</v>
      </c>
      <c r="G15" s="5">
        <f t="shared" si="3"/>
        <v>7.1054273576010019E-15</v>
      </c>
      <c r="H15" s="5">
        <f t="shared" si="4"/>
        <v>513.33333333333292</v>
      </c>
    </row>
    <row r="16" spans="1:8" x14ac:dyDescent="0.25">
      <c r="A16" s="5">
        <v>9</v>
      </c>
      <c r="B16" s="3">
        <v>0.34513888888888899</v>
      </c>
      <c r="C16" s="3">
        <v>0.80694444444444402</v>
      </c>
      <c r="D16" s="4">
        <f t="shared" si="0"/>
        <v>0.46180555555555503</v>
      </c>
      <c r="E16" s="5">
        <f t="shared" si="1"/>
        <v>11.083333333333321</v>
      </c>
      <c r="F16" s="5">
        <f t="shared" si="2"/>
        <v>3.0833333333333215</v>
      </c>
      <c r="G16" s="5">
        <f t="shared" si="3"/>
        <v>0</v>
      </c>
      <c r="H16" s="5">
        <f t="shared" si="4"/>
        <v>711.18055555555486</v>
      </c>
    </row>
    <row r="17" spans="1:8" x14ac:dyDescent="0.25">
      <c r="A17" s="5">
        <v>10</v>
      </c>
      <c r="B17" s="3">
        <v>0.38263888888888897</v>
      </c>
      <c r="C17" s="3">
        <v>0.71111111111111103</v>
      </c>
      <c r="D17" s="4">
        <f t="shared" si="0"/>
        <v>0.32847222222222205</v>
      </c>
      <c r="E17" s="5">
        <f t="shared" si="1"/>
        <v>7.8833333333333293</v>
      </c>
      <c r="F17" s="5">
        <f t="shared" si="2"/>
        <v>0</v>
      </c>
      <c r="G17" s="5">
        <f t="shared" si="3"/>
        <v>0.11666666666667069</v>
      </c>
      <c r="H17" s="5">
        <f t="shared" si="4"/>
        <v>505.847222222222</v>
      </c>
    </row>
    <row r="18" spans="1:8" x14ac:dyDescent="0.25">
      <c r="A18" s="5">
        <v>11</v>
      </c>
      <c r="B18" s="3">
        <v>0.36805555555555602</v>
      </c>
      <c r="C18" s="3">
        <v>0.62777777777777799</v>
      </c>
      <c r="D18" s="4">
        <f t="shared" si="0"/>
        <v>0.25972222222222197</v>
      </c>
      <c r="E18" s="5">
        <f t="shared" si="1"/>
        <v>6.2333333333333272</v>
      </c>
      <c r="F18" s="5">
        <f t="shared" si="2"/>
        <v>0</v>
      </c>
      <c r="G18" s="5">
        <f t="shared" si="3"/>
        <v>1.7666666666666728</v>
      </c>
      <c r="H18" s="5">
        <f t="shared" si="4"/>
        <v>399.97222222222183</v>
      </c>
    </row>
    <row r="19" spans="1:8" x14ac:dyDescent="0.25">
      <c r="A19" s="5">
        <v>12</v>
      </c>
      <c r="B19" s="3">
        <v>0.37083333333333302</v>
      </c>
      <c r="C19" s="3">
        <v>0.70694444444444404</v>
      </c>
      <c r="D19" s="4">
        <f t="shared" si="0"/>
        <v>0.33611111111111103</v>
      </c>
      <c r="E19" s="5">
        <f t="shared" si="1"/>
        <v>8.0666666666666647</v>
      </c>
      <c r="F19" s="5">
        <f t="shared" si="2"/>
        <v>6.6666666666664653E-2</v>
      </c>
      <c r="G19" s="5">
        <f t="shared" si="3"/>
        <v>0</v>
      </c>
      <c r="H19" s="5">
        <f t="shared" si="4"/>
        <v>517.61111111111097</v>
      </c>
    </row>
    <row r="20" spans="1:8" x14ac:dyDescent="0.25">
      <c r="A20" s="5">
        <v>13</v>
      </c>
      <c r="B20" s="3">
        <v>0.375</v>
      </c>
      <c r="C20" s="3">
        <v>0.82222222222222197</v>
      </c>
      <c r="D20" s="4">
        <f t="shared" si="0"/>
        <v>0.44722222222222197</v>
      </c>
      <c r="E20" s="5">
        <f t="shared" si="1"/>
        <v>10.733333333333327</v>
      </c>
      <c r="F20" s="5">
        <f t="shared" si="2"/>
        <v>2.7333333333333272</v>
      </c>
      <c r="G20" s="5">
        <f t="shared" si="3"/>
        <v>0</v>
      </c>
      <c r="H20" s="5">
        <f t="shared" si="4"/>
        <v>688.72222222222183</v>
      </c>
    </row>
    <row r="21" spans="1:8" x14ac:dyDescent="0.25">
      <c r="A21" s="5">
        <v>14</v>
      </c>
      <c r="B21" s="3">
        <v>0.37847222222222199</v>
      </c>
      <c r="C21" s="3">
        <v>0.63124999999999998</v>
      </c>
      <c r="D21" s="4">
        <f t="shared" si="0"/>
        <v>0.25277777777777799</v>
      </c>
      <c r="E21" s="5">
        <f t="shared" si="1"/>
        <v>6.0666666666666718</v>
      </c>
      <c r="F21" s="5">
        <f t="shared" si="2"/>
        <v>0</v>
      </c>
      <c r="G21" s="5">
        <f t="shared" si="3"/>
        <v>1.9333333333333282</v>
      </c>
      <c r="H21" s="5">
        <f t="shared" si="4"/>
        <v>389.27777777777811</v>
      </c>
    </row>
    <row r="22" spans="1:8" x14ac:dyDescent="0.25">
      <c r="A22" s="2" t="s">
        <v>18</v>
      </c>
      <c r="B22" s="3">
        <v>0.375</v>
      </c>
      <c r="C22" s="3">
        <v>0.70833333333333304</v>
      </c>
      <c r="D22" s="4">
        <f t="shared" si="0"/>
        <v>0.33333333333333304</v>
      </c>
      <c r="E22" s="5">
        <f t="shared" si="1"/>
        <v>7.9999999999999929</v>
      </c>
      <c r="F22" s="5">
        <f t="shared" si="2"/>
        <v>0</v>
      </c>
      <c r="G22" s="5">
        <f t="shared" si="3"/>
        <v>7.1054273576010019E-15</v>
      </c>
      <c r="H22" s="5">
        <f t="shared" si="4"/>
        <v>513.33333333333292</v>
      </c>
    </row>
    <row r="23" spans="1:8" x14ac:dyDescent="0.25">
      <c r="A23" s="5">
        <v>16</v>
      </c>
      <c r="B23" s="3">
        <v>0.37847222222222199</v>
      </c>
      <c r="C23" s="3">
        <v>0.73958333333333304</v>
      </c>
      <c r="D23" s="4">
        <f t="shared" si="0"/>
        <v>0.36111111111111105</v>
      </c>
      <c r="E23" s="5">
        <f t="shared" si="1"/>
        <v>8.6666666666666643</v>
      </c>
      <c r="F23" s="5">
        <f t="shared" si="2"/>
        <v>0.6666666666666643</v>
      </c>
      <c r="G23" s="5">
        <f t="shared" si="3"/>
        <v>0</v>
      </c>
      <c r="H23" s="5">
        <f t="shared" si="4"/>
        <v>556.11111111111097</v>
      </c>
    </row>
    <row r="24" spans="1:8" x14ac:dyDescent="0.25">
      <c r="A24" s="5">
        <v>17</v>
      </c>
      <c r="B24" s="3">
        <v>0.38888888888888901</v>
      </c>
      <c r="C24" s="3">
        <v>0.73888888888888904</v>
      </c>
      <c r="D24" s="4">
        <f t="shared" si="0"/>
        <v>0.35000000000000003</v>
      </c>
      <c r="E24" s="5">
        <f t="shared" si="1"/>
        <v>8.4</v>
      </c>
      <c r="F24" s="5">
        <f t="shared" si="2"/>
        <v>0.40000000000000036</v>
      </c>
      <c r="G24" s="5">
        <f t="shared" si="3"/>
        <v>0</v>
      </c>
      <c r="H24" s="5">
        <f t="shared" si="4"/>
        <v>539.00000000000011</v>
      </c>
    </row>
    <row r="25" spans="1:8" x14ac:dyDescent="0.25">
      <c r="A25" s="5">
        <v>18</v>
      </c>
      <c r="B25" s="3">
        <v>0.38541666666666702</v>
      </c>
      <c r="C25" s="3">
        <v>0.750694444444444</v>
      </c>
      <c r="D25" s="4">
        <f t="shared" si="0"/>
        <v>0.36527777777777698</v>
      </c>
      <c r="E25" s="5">
        <f t="shared" si="1"/>
        <v>8.766666666666648</v>
      </c>
      <c r="F25" s="5">
        <f t="shared" si="2"/>
        <v>0.76666666666664796</v>
      </c>
      <c r="G25" s="5">
        <f t="shared" si="3"/>
        <v>0</v>
      </c>
      <c r="H25" s="5">
        <f t="shared" si="4"/>
        <v>562.52777777777658</v>
      </c>
    </row>
    <row r="26" spans="1:8" x14ac:dyDescent="0.25">
      <c r="A26" s="5">
        <v>19</v>
      </c>
      <c r="B26" s="3">
        <v>0.52152777777777803</v>
      </c>
      <c r="C26" s="3">
        <v>0.86597222222222203</v>
      </c>
      <c r="D26" s="4">
        <f t="shared" si="0"/>
        <v>0.344444444444444</v>
      </c>
      <c r="E26" s="5">
        <f t="shared" si="1"/>
        <v>8.2666666666666551</v>
      </c>
      <c r="F26" s="5">
        <f t="shared" si="2"/>
        <v>0.26666666666665506</v>
      </c>
      <c r="G26" s="5">
        <f t="shared" si="3"/>
        <v>0</v>
      </c>
      <c r="H26" s="5">
        <f t="shared" si="4"/>
        <v>530.44444444444377</v>
      </c>
    </row>
    <row r="27" spans="1:8" x14ac:dyDescent="0.25">
      <c r="A27" s="5">
        <v>20</v>
      </c>
      <c r="B27" s="3">
        <v>0.531944444444444</v>
      </c>
      <c r="C27" s="3">
        <v>0.85902777777777795</v>
      </c>
      <c r="D27" s="4">
        <f t="shared" si="0"/>
        <v>0.32708333333333395</v>
      </c>
      <c r="E27" s="5">
        <f t="shared" si="1"/>
        <v>7.8500000000000147</v>
      </c>
      <c r="F27" s="5">
        <f t="shared" si="2"/>
        <v>0</v>
      </c>
      <c r="G27" s="5">
        <f t="shared" si="3"/>
        <v>0.14999999999998526</v>
      </c>
      <c r="H27" s="5">
        <f t="shared" si="4"/>
        <v>503.70833333333434</v>
      </c>
    </row>
    <row r="28" spans="1:8" x14ac:dyDescent="0.25">
      <c r="A28" s="5">
        <v>21</v>
      </c>
      <c r="B28" s="3">
        <v>0.50416666666666698</v>
      </c>
      <c r="C28" s="3">
        <v>0.85416666666666696</v>
      </c>
      <c r="D28" s="4">
        <f t="shared" si="0"/>
        <v>0.35</v>
      </c>
      <c r="E28" s="5">
        <f t="shared" si="1"/>
        <v>8.3999999999999986</v>
      </c>
      <c r="F28" s="5">
        <f t="shared" si="2"/>
        <v>0.39999999999999858</v>
      </c>
      <c r="G28" s="5">
        <f t="shared" si="3"/>
        <v>0</v>
      </c>
      <c r="H28" s="5">
        <f t="shared" si="4"/>
        <v>539</v>
      </c>
    </row>
    <row r="29" spans="1:8" x14ac:dyDescent="0.25">
      <c r="A29" s="2" t="s">
        <v>19</v>
      </c>
      <c r="B29" s="3">
        <v>0.375</v>
      </c>
      <c r="C29" s="3">
        <v>0.70833333333333304</v>
      </c>
      <c r="D29" s="4">
        <f t="shared" si="0"/>
        <v>0.33333333333333304</v>
      </c>
      <c r="E29" s="5">
        <f t="shared" si="1"/>
        <v>7.9999999999999929</v>
      </c>
      <c r="F29" s="5">
        <f t="shared" si="2"/>
        <v>0</v>
      </c>
      <c r="G29" s="5">
        <f t="shared" si="3"/>
        <v>7.1054273576010019E-15</v>
      </c>
      <c r="H29" s="5">
        <f t="shared" si="4"/>
        <v>513.33333333333292</v>
      </c>
    </row>
    <row r="30" spans="1:8" x14ac:dyDescent="0.25">
      <c r="A30" s="5">
        <v>23</v>
      </c>
      <c r="B30" s="3">
        <v>0.50486111111111098</v>
      </c>
      <c r="C30" s="3">
        <v>0.86875000000000002</v>
      </c>
      <c r="D30" s="4">
        <f t="shared" si="0"/>
        <v>0.36388888888888904</v>
      </c>
      <c r="E30" s="5">
        <f t="shared" si="1"/>
        <v>8.7333333333333378</v>
      </c>
      <c r="F30" s="5">
        <f t="shared" si="2"/>
        <v>0.73333333333333783</v>
      </c>
      <c r="G30" s="5">
        <f t="shared" si="3"/>
        <v>0</v>
      </c>
      <c r="H30" s="5">
        <f t="shared" si="4"/>
        <v>560.38888888888926</v>
      </c>
    </row>
    <row r="31" spans="1:8" x14ac:dyDescent="0.25">
      <c r="A31" s="5">
        <v>24</v>
      </c>
      <c r="B31" s="3">
        <v>0.55347222222222203</v>
      </c>
      <c r="C31" s="3">
        <v>0.84791666666666698</v>
      </c>
      <c r="D31" s="4">
        <f t="shared" si="0"/>
        <v>0.29444444444444495</v>
      </c>
      <c r="E31" s="5">
        <f t="shared" si="1"/>
        <v>7.0666666666666789</v>
      </c>
      <c r="F31" s="5">
        <f t="shared" si="2"/>
        <v>0</v>
      </c>
      <c r="G31" s="5">
        <f t="shared" si="3"/>
        <v>0.93333333333332114</v>
      </c>
      <c r="H31" s="5">
        <f t="shared" si="4"/>
        <v>453.44444444444525</v>
      </c>
    </row>
    <row r="32" spans="1:8" x14ac:dyDescent="0.25">
      <c r="A32" s="5">
        <v>25</v>
      </c>
      <c r="B32" s="3">
        <v>0.51249999999999996</v>
      </c>
      <c r="C32" s="3">
        <v>0.85694444444444395</v>
      </c>
      <c r="D32" s="4">
        <f t="shared" si="0"/>
        <v>0.344444444444444</v>
      </c>
      <c r="E32" s="5">
        <f t="shared" si="1"/>
        <v>8.2666666666666551</v>
      </c>
      <c r="F32" s="5">
        <f t="shared" si="2"/>
        <v>0.26666666666665506</v>
      </c>
      <c r="G32" s="5">
        <f t="shared" si="3"/>
        <v>0</v>
      </c>
      <c r="H32" s="5">
        <f t="shared" si="4"/>
        <v>530.44444444444377</v>
      </c>
    </row>
    <row r="33" spans="1:8" x14ac:dyDescent="0.25">
      <c r="A33" s="5">
        <v>26</v>
      </c>
      <c r="B33" s="3">
        <v>0.56388888888888899</v>
      </c>
      <c r="C33" s="3">
        <v>0.85694444444444395</v>
      </c>
      <c r="D33" s="4">
        <f t="shared" si="0"/>
        <v>0.29305555555555496</v>
      </c>
      <c r="E33" s="5">
        <f t="shared" si="1"/>
        <v>7.033333333333319</v>
      </c>
      <c r="F33" s="5">
        <f t="shared" si="2"/>
        <v>0</v>
      </c>
      <c r="G33" s="5">
        <f t="shared" si="3"/>
        <v>0.966666666666681</v>
      </c>
      <c r="H33" s="5">
        <f t="shared" si="4"/>
        <v>451.30555555555469</v>
      </c>
    </row>
    <row r="34" spans="1:8" x14ac:dyDescent="0.25">
      <c r="A34" s="5">
        <v>27</v>
      </c>
      <c r="B34" s="3">
        <v>0.52569444444444402</v>
      </c>
      <c r="C34" s="3">
        <v>0.84861111111111098</v>
      </c>
      <c r="D34" s="4">
        <f t="shared" si="0"/>
        <v>0.32291666666666696</v>
      </c>
      <c r="E34" s="5">
        <f t="shared" si="1"/>
        <v>7.7500000000000071</v>
      </c>
      <c r="F34" s="5">
        <f t="shared" si="2"/>
        <v>0</v>
      </c>
      <c r="G34" s="5">
        <f t="shared" si="3"/>
        <v>0.24999999999999289</v>
      </c>
      <c r="H34" s="5">
        <f t="shared" si="4"/>
        <v>497.29166666666714</v>
      </c>
    </row>
    <row r="35" spans="1:8" x14ac:dyDescent="0.25">
      <c r="A35" s="5">
        <v>28</v>
      </c>
      <c r="B35" s="3">
        <v>0.55208333333333304</v>
      </c>
      <c r="C35" s="3">
        <v>0.85624999999999996</v>
      </c>
      <c r="D35" s="4">
        <f t="shared" si="0"/>
        <v>0.30416666666666692</v>
      </c>
      <c r="E35" s="5">
        <f t="shared" si="1"/>
        <v>7.300000000000006</v>
      </c>
      <c r="F35" s="5">
        <f t="shared" si="2"/>
        <v>0</v>
      </c>
      <c r="G35" s="5">
        <f t="shared" si="3"/>
        <v>0.69999999999999396</v>
      </c>
      <c r="H35" s="5">
        <f t="shared" si="4"/>
        <v>468.41666666666708</v>
      </c>
    </row>
    <row r="36" spans="1:8" x14ac:dyDescent="0.25">
      <c r="A36" s="5">
        <v>29</v>
      </c>
      <c r="B36" s="3">
        <v>0.375</v>
      </c>
      <c r="C36" s="3">
        <v>0.70833333333333304</v>
      </c>
      <c r="D36" s="4">
        <f t="shared" ref="D36:D37" si="5">IF(C36&lt;B36,C36+1,C36)-B36</f>
        <v>0.33333333333333304</v>
      </c>
      <c r="E36" s="5">
        <f t="shared" si="1"/>
        <v>7.9999999999999929</v>
      </c>
      <c r="F36" s="5">
        <f t="shared" si="2"/>
        <v>0</v>
      </c>
      <c r="G36" s="5">
        <f t="shared" ref="G36:G37" si="6">IF(E36&lt;$B$3,$B$3-E36,0)</f>
        <v>7.1054273576010019E-15</v>
      </c>
      <c r="H36" s="5">
        <f t="shared" ref="H36:H37" si="7">$B$5*(E36/$B$3)</f>
        <v>513.33333333333292</v>
      </c>
    </row>
    <row r="37" spans="1:8" x14ac:dyDescent="0.25">
      <c r="A37" s="5">
        <v>30</v>
      </c>
      <c r="B37" s="3">
        <v>0.375</v>
      </c>
      <c r="C37" s="3">
        <v>0.70833333333333304</v>
      </c>
      <c r="D37" s="4">
        <f t="shared" si="5"/>
        <v>0.33333333333333304</v>
      </c>
      <c r="E37" s="5">
        <f t="shared" si="1"/>
        <v>7.9999999999999929</v>
      </c>
      <c r="F37" s="5">
        <f t="shared" si="2"/>
        <v>0</v>
      </c>
      <c r="G37" s="5">
        <f t="shared" si="6"/>
        <v>7.1054273576010019E-15</v>
      </c>
      <c r="H37" s="5">
        <f t="shared" si="7"/>
        <v>513.33333333333292</v>
      </c>
    </row>
    <row r="38" spans="1:8" x14ac:dyDescent="0.25">
      <c r="A38" s="5" t="s">
        <v>34</v>
      </c>
      <c r="B38" s="3">
        <v>0.375</v>
      </c>
      <c r="C38" s="3">
        <v>0.70833333333333304</v>
      </c>
      <c r="D38" s="4">
        <f t="shared" ref="D38" si="8">IF(C38&lt;B38,C38+1,C38)-B38</f>
        <v>0.33333333333333304</v>
      </c>
      <c r="E38" s="5">
        <f t="shared" si="1"/>
        <v>7.9999999999999929</v>
      </c>
      <c r="F38" s="5">
        <f t="shared" si="2"/>
        <v>0</v>
      </c>
      <c r="G38" s="5">
        <f t="shared" ref="G38" si="9">IF(E38&lt;$B$3,$B$3-E38,0)</f>
        <v>7.1054273576010019E-15</v>
      </c>
      <c r="H38" s="5">
        <f t="shared" ref="H38" si="10">$B$5*(E38/$B$3)</f>
        <v>513.33333333333292</v>
      </c>
    </row>
    <row r="39" spans="1:8" s="9" customFormat="1" x14ac:dyDescent="0.25">
      <c r="A39" s="15" t="s">
        <v>14</v>
      </c>
      <c r="E39" s="9">
        <f>SUM(E8:E35)</f>
        <v>232.29999999999995</v>
      </c>
      <c r="F39" s="9">
        <f>SUM(F8:F35)</f>
        <v>15.116666666666607</v>
      </c>
      <c r="H39" s="9">
        <f>SUM(H8:H38)</f>
        <v>16445.916666666661</v>
      </c>
    </row>
    <row r="41" spans="1:8" s="16" customFormat="1" x14ac:dyDescent="0.25">
      <c r="A41" s="16" t="s">
        <v>20</v>
      </c>
      <c r="H41" s="16">
        <f>SUM(H8:H38)-200</f>
        <v>16245.916666666661</v>
      </c>
    </row>
    <row r="43" spans="1:8" s="14" customFormat="1" x14ac:dyDescent="0.25">
      <c r="A43" s="14" t="s">
        <v>43</v>
      </c>
      <c r="B43" s="14">
        <v>720</v>
      </c>
      <c r="H43" s="17">
        <f>SUM(H41+B43)</f>
        <v>16965.916666666661</v>
      </c>
    </row>
  </sheetData>
  <pageMargins left="0.75" right="0.75" top="1" bottom="1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="95" zoomScaleNormal="95" workbookViewId="0">
      <selection activeCell="L20" sqref="L20"/>
    </sheetView>
  </sheetViews>
  <sheetFormatPr defaultColWidth="8.7109375" defaultRowHeight="15" x14ac:dyDescent="0.25"/>
  <cols>
    <col min="1" max="1" width="20.42578125" style="5" customWidth="1"/>
    <col min="2" max="2" width="24.140625" style="5" bestFit="1" customWidth="1"/>
    <col min="3" max="3" width="11.85546875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16384" width="8.7109375" style="5"/>
  </cols>
  <sheetData>
    <row r="1" spans="1:9" x14ac:dyDescent="0.25">
      <c r="A1" s="12" t="s">
        <v>0</v>
      </c>
      <c r="B1" s="9" t="s">
        <v>21</v>
      </c>
    </row>
    <row r="2" spans="1:9" x14ac:dyDescent="0.25">
      <c r="A2" s="12" t="s">
        <v>2</v>
      </c>
      <c r="B2" s="5">
        <v>13200</v>
      </c>
    </row>
    <row r="3" spans="1:9" x14ac:dyDescent="0.25">
      <c r="A3" s="12" t="s">
        <v>3</v>
      </c>
      <c r="B3" s="5">
        <v>8</v>
      </c>
    </row>
    <row r="4" spans="1:9" ht="29.25" x14ac:dyDescent="0.25">
      <c r="A4" s="13" t="s">
        <v>4</v>
      </c>
      <c r="B4" s="11">
        <v>30</v>
      </c>
      <c r="C4" s="11"/>
    </row>
    <row r="5" spans="1:9" x14ac:dyDescent="0.25">
      <c r="A5" s="12" t="s">
        <v>5</v>
      </c>
      <c r="B5" s="5">
        <f>B2/B4</f>
        <v>440</v>
      </c>
    </row>
    <row r="7" spans="1:9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9" x14ac:dyDescent="0.25">
      <c r="A8" s="2" t="s">
        <v>22</v>
      </c>
      <c r="B8" s="3">
        <v>0.375</v>
      </c>
      <c r="C8" s="3">
        <v>0.70833333333333304</v>
      </c>
      <c r="D8" s="4">
        <f t="shared" ref="D8:D35" si="0">IF(C8&lt;B8,C8+1,C8)-B8</f>
        <v>0.33333333333333304</v>
      </c>
      <c r="E8" s="5">
        <f t="shared" ref="E8:E38" si="1">D8*24</f>
        <v>7.9999999999999929</v>
      </c>
      <c r="F8" s="5">
        <f t="shared" ref="F8:F38" si="2">IF(E8&gt;$B$3,E8-$B$3,0)</f>
        <v>0</v>
      </c>
      <c r="G8" s="5">
        <f t="shared" ref="G8:G35" si="3">IF(E8&lt;$B$3,$B$3-E8,0)</f>
        <v>7.1054273576010019E-15</v>
      </c>
      <c r="H8" s="5">
        <f t="shared" ref="H8:H35" si="4">$B$5*(E8/$B$3)</f>
        <v>439.9999999999996</v>
      </c>
    </row>
    <row r="9" spans="1:9" x14ac:dyDescent="0.25">
      <c r="A9" s="5">
        <v>2</v>
      </c>
      <c r="B9" s="3">
        <v>0.34236111111111101</v>
      </c>
      <c r="C9" s="3">
        <v>0.67430555555555605</v>
      </c>
      <c r="D9" s="4">
        <f t="shared" si="0"/>
        <v>0.33194444444444504</v>
      </c>
      <c r="E9" s="5">
        <f t="shared" si="1"/>
        <v>7.966666666666681</v>
      </c>
      <c r="F9" s="5">
        <f t="shared" si="2"/>
        <v>0</v>
      </c>
      <c r="G9" s="5">
        <f t="shared" si="3"/>
        <v>3.3333333333319004E-2</v>
      </c>
      <c r="H9" s="5">
        <f t="shared" si="4"/>
        <v>438.16666666666748</v>
      </c>
      <c r="I9" s="5">
        <v>2</v>
      </c>
    </row>
    <row r="10" spans="1:9" x14ac:dyDescent="0.25">
      <c r="A10" s="5">
        <v>3</v>
      </c>
      <c r="B10" s="3">
        <v>0.32638888888888901</v>
      </c>
      <c r="C10" s="3">
        <v>0.70763888888888904</v>
      </c>
      <c r="D10" s="4">
        <f t="shared" si="0"/>
        <v>0.38125000000000003</v>
      </c>
      <c r="E10" s="5">
        <f t="shared" si="1"/>
        <v>9.15</v>
      </c>
      <c r="F10" s="5">
        <f t="shared" si="2"/>
        <v>1.1500000000000004</v>
      </c>
      <c r="G10" s="5">
        <f t="shared" si="3"/>
        <v>0</v>
      </c>
      <c r="H10" s="5">
        <f t="shared" si="4"/>
        <v>503.25</v>
      </c>
      <c r="I10" s="5">
        <v>69</v>
      </c>
    </row>
    <row r="11" spans="1:9" x14ac:dyDescent="0.25">
      <c r="A11" s="5">
        <v>4</v>
      </c>
      <c r="B11" s="3">
        <v>0.296527777777778</v>
      </c>
      <c r="C11" s="3">
        <v>0.75277777777777799</v>
      </c>
      <c r="D11" s="4">
        <f t="shared" si="0"/>
        <v>0.45624999999999999</v>
      </c>
      <c r="E11" s="5">
        <f t="shared" si="1"/>
        <v>10.95</v>
      </c>
      <c r="F11" s="5">
        <f t="shared" si="2"/>
        <v>2.9499999999999993</v>
      </c>
      <c r="G11" s="5">
        <f t="shared" si="3"/>
        <v>0</v>
      </c>
      <c r="H11" s="5">
        <f t="shared" si="4"/>
        <v>602.25</v>
      </c>
      <c r="I11" s="5">
        <v>177</v>
      </c>
    </row>
    <row r="12" spans="1:9" x14ac:dyDescent="0.25">
      <c r="A12" s="5">
        <v>5</v>
      </c>
      <c r="B12" s="3">
        <v>0.30138888888888898</v>
      </c>
      <c r="C12" s="3">
        <v>0.69930555555555496</v>
      </c>
      <c r="D12" s="4">
        <f t="shared" si="0"/>
        <v>0.39791666666666597</v>
      </c>
      <c r="E12" s="5">
        <f t="shared" si="1"/>
        <v>9.5499999999999829</v>
      </c>
      <c r="F12" s="5">
        <f t="shared" si="2"/>
        <v>1.5499999999999829</v>
      </c>
      <c r="G12" s="5">
        <f t="shared" si="3"/>
        <v>0</v>
      </c>
      <c r="H12" s="5">
        <f t="shared" si="4"/>
        <v>525.24999999999909</v>
      </c>
      <c r="I12" s="5">
        <v>93</v>
      </c>
    </row>
    <row r="13" spans="1:9" x14ac:dyDescent="0.25">
      <c r="A13" s="5">
        <v>6</v>
      </c>
      <c r="B13" s="3">
        <v>0.32013888888888897</v>
      </c>
      <c r="C13" s="3">
        <v>0.79305555555555496</v>
      </c>
      <c r="D13" s="4">
        <f t="shared" si="0"/>
        <v>0.47291666666666599</v>
      </c>
      <c r="E13" s="5">
        <f t="shared" si="1"/>
        <v>11.349999999999984</v>
      </c>
      <c r="F13" s="5">
        <f t="shared" si="2"/>
        <v>3.3499999999999837</v>
      </c>
      <c r="G13" s="5">
        <f t="shared" si="3"/>
        <v>0</v>
      </c>
      <c r="H13" s="5">
        <f t="shared" si="4"/>
        <v>624.24999999999909</v>
      </c>
      <c r="I13" s="5">
        <v>201</v>
      </c>
    </row>
    <row r="14" spans="1:9" x14ac:dyDescent="0.25">
      <c r="A14" s="5">
        <v>7</v>
      </c>
      <c r="B14" s="3">
        <v>0.296527777777778</v>
      </c>
      <c r="C14" s="3">
        <v>0.73333333333333295</v>
      </c>
      <c r="D14" s="4">
        <f t="shared" si="0"/>
        <v>0.43680555555555495</v>
      </c>
      <c r="E14" s="5">
        <f t="shared" si="1"/>
        <v>10.483333333333318</v>
      </c>
      <c r="F14" s="5">
        <f t="shared" si="2"/>
        <v>2.4833333333333183</v>
      </c>
      <c r="G14" s="5">
        <f t="shared" si="3"/>
        <v>0</v>
      </c>
      <c r="H14" s="5">
        <f t="shared" si="4"/>
        <v>576.58333333333246</v>
      </c>
      <c r="I14" s="5">
        <v>149</v>
      </c>
    </row>
    <row r="15" spans="1:9" x14ac:dyDescent="0.25">
      <c r="A15" s="2" t="s">
        <v>23</v>
      </c>
      <c r="B15" s="3">
        <v>0.375</v>
      </c>
      <c r="C15" s="3">
        <v>0.70833333333333304</v>
      </c>
      <c r="D15" s="4">
        <f t="shared" si="0"/>
        <v>0.33333333333333304</v>
      </c>
      <c r="E15" s="5">
        <f t="shared" si="1"/>
        <v>7.9999999999999929</v>
      </c>
      <c r="F15" s="5">
        <f t="shared" si="2"/>
        <v>0</v>
      </c>
      <c r="G15" s="5">
        <f t="shared" si="3"/>
        <v>7.1054273576010019E-15</v>
      </c>
      <c r="H15" s="5">
        <f t="shared" si="4"/>
        <v>439.9999999999996</v>
      </c>
    </row>
    <row r="16" spans="1:9" x14ac:dyDescent="0.25">
      <c r="A16" s="5">
        <v>9</v>
      </c>
      <c r="B16" s="3">
        <v>0.32013888888888897</v>
      </c>
      <c r="C16" s="3">
        <v>0.69097222222222199</v>
      </c>
      <c r="D16" s="4">
        <f t="shared" si="0"/>
        <v>0.37083333333333302</v>
      </c>
      <c r="E16" s="5">
        <f t="shared" si="1"/>
        <v>8.8999999999999915</v>
      </c>
      <c r="F16" s="5">
        <f t="shared" si="2"/>
        <v>0.89999999999999147</v>
      </c>
      <c r="G16" s="5">
        <f t="shared" si="3"/>
        <v>0</v>
      </c>
      <c r="H16" s="5">
        <f t="shared" si="4"/>
        <v>489.49999999999955</v>
      </c>
      <c r="I16" s="5">
        <v>54</v>
      </c>
    </row>
    <row r="17" spans="1:9" x14ac:dyDescent="0.25">
      <c r="A17" s="5">
        <v>10</v>
      </c>
      <c r="B17" s="3">
        <v>0.31527777777777799</v>
      </c>
      <c r="C17" s="3">
        <v>0.78263888888888899</v>
      </c>
      <c r="D17" s="4">
        <f t="shared" si="0"/>
        <v>0.46736111111111101</v>
      </c>
      <c r="E17" s="5">
        <f t="shared" si="1"/>
        <v>11.216666666666665</v>
      </c>
      <c r="F17" s="5">
        <f t="shared" si="2"/>
        <v>3.216666666666665</v>
      </c>
      <c r="G17" s="5">
        <f t="shared" si="3"/>
        <v>0</v>
      </c>
      <c r="H17" s="5">
        <f t="shared" si="4"/>
        <v>616.91666666666663</v>
      </c>
      <c r="I17" s="5">
        <v>193</v>
      </c>
    </row>
    <row r="18" spans="1:9" x14ac:dyDescent="0.25">
      <c r="A18" s="5">
        <v>11</v>
      </c>
      <c r="B18" s="3">
        <v>0.29444444444444401</v>
      </c>
      <c r="C18" s="3">
        <v>0.77083333333333304</v>
      </c>
      <c r="D18" s="4">
        <f t="shared" si="0"/>
        <v>0.47638888888888903</v>
      </c>
      <c r="E18" s="5">
        <f t="shared" si="1"/>
        <v>11.433333333333337</v>
      </c>
      <c r="F18" s="5">
        <f t="shared" si="2"/>
        <v>3.4333333333333371</v>
      </c>
      <c r="G18" s="5">
        <f t="shared" si="3"/>
        <v>0</v>
      </c>
      <c r="H18" s="5">
        <f t="shared" si="4"/>
        <v>628.83333333333348</v>
      </c>
      <c r="I18" s="5">
        <v>206</v>
      </c>
    </row>
    <row r="19" spans="1:9" x14ac:dyDescent="0.25">
      <c r="A19" s="5">
        <v>12</v>
      </c>
      <c r="B19" s="3">
        <v>0.32222222222222202</v>
      </c>
      <c r="C19" s="3">
        <v>0.69583333333333297</v>
      </c>
      <c r="D19" s="4">
        <f t="shared" si="0"/>
        <v>0.37361111111111095</v>
      </c>
      <c r="E19" s="5">
        <f t="shared" si="1"/>
        <v>8.9666666666666632</v>
      </c>
      <c r="F19" s="5">
        <f t="shared" si="2"/>
        <v>0.96666666666666323</v>
      </c>
      <c r="G19" s="5">
        <f t="shared" si="3"/>
        <v>0</v>
      </c>
      <c r="H19" s="5">
        <f t="shared" si="4"/>
        <v>493.16666666666646</v>
      </c>
      <c r="I19" s="5">
        <v>58</v>
      </c>
    </row>
    <row r="20" spans="1:9" x14ac:dyDescent="0.25">
      <c r="A20" s="5">
        <v>13</v>
      </c>
      <c r="B20" s="3">
        <v>0.30347222222222198</v>
      </c>
      <c r="C20" s="3">
        <v>0.74513888888888902</v>
      </c>
      <c r="D20" s="4">
        <f t="shared" si="0"/>
        <v>0.44166666666666704</v>
      </c>
      <c r="E20" s="5">
        <f t="shared" si="1"/>
        <v>10.600000000000009</v>
      </c>
      <c r="F20" s="5">
        <f t="shared" si="2"/>
        <v>2.6000000000000085</v>
      </c>
      <c r="G20" s="5">
        <f t="shared" si="3"/>
        <v>0</v>
      </c>
      <c r="H20" s="5">
        <f t="shared" si="4"/>
        <v>583.00000000000045</v>
      </c>
      <c r="I20" s="5">
        <v>156</v>
      </c>
    </row>
    <row r="21" spans="1:9" x14ac:dyDescent="0.25">
      <c r="A21" s="5">
        <v>14</v>
      </c>
      <c r="B21" s="3">
        <v>0.27986111111111101</v>
      </c>
      <c r="C21" s="3">
        <v>0.74513888888888902</v>
      </c>
      <c r="D21" s="4">
        <f t="shared" si="0"/>
        <v>0.46527777777777801</v>
      </c>
      <c r="E21" s="5">
        <f t="shared" si="1"/>
        <v>11.166666666666671</v>
      </c>
      <c r="F21" s="5">
        <f t="shared" si="2"/>
        <v>3.1666666666666714</v>
      </c>
      <c r="G21" s="5">
        <f t="shared" si="3"/>
        <v>0</v>
      </c>
      <c r="H21" s="5">
        <f t="shared" si="4"/>
        <v>614.16666666666697</v>
      </c>
      <c r="I21" s="5">
        <v>190</v>
      </c>
    </row>
    <row r="22" spans="1:9" x14ac:dyDescent="0.25">
      <c r="A22" s="5" t="s">
        <v>28</v>
      </c>
      <c r="B22" s="3">
        <v>0.375</v>
      </c>
      <c r="C22" s="3">
        <v>0.70833333333333304</v>
      </c>
      <c r="D22" s="4">
        <f t="shared" si="0"/>
        <v>0.33333333333333304</v>
      </c>
      <c r="E22" s="5">
        <f t="shared" si="1"/>
        <v>7.9999999999999929</v>
      </c>
      <c r="F22" s="5">
        <f t="shared" si="2"/>
        <v>0</v>
      </c>
      <c r="G22" s="5">
        <f t="shared" si="3"/>
        <v>7.1054273576010019E-15</v>
      </c>
      <c r="H22" s="5">
        <f t="shared" si="4"/>
        <v>439.9999999999996</v>
      </c>
    </row>
    <row r="23" spans="1:9" x14ac:dyDescent="0.25">
      <c r="A23" s="5">
        <v>16</v>
      </c>
      <c r="B23" s="3">
        <v>0.32638888888888901</v>
      </c>
      <c r="C23" s="3">
        <v>0.66527777777777797</v>
      </c>
      <c r="D23" s="4">
        <f t="shared" si="0"/>
        <v>0.33888888888888896</v>
      </c>
      <c r="E23" s="5">
        <f t="shared" si="1"/>
        <v>8.1333333333333346</v>
      </c>
      <c r="F23" s="5">
        <f t="shared" si="2"/>
        <v>0.13333333333333464</v>
      </c>
      <c r="G23" s="5">
        <f t="shared" si="3"/>
        <v>0</v>
      </c>
      <c r="H23" s="5">
        <f t="shared" si="4"/>
        <v>447.33333333333343</v>
      </c>
      <c r="I23" s="5">
        <v>8</v>
      </c>
    </row>
    <row r="24" spans="1:9" x14ac:dyDescent="0.25">
      <c r="A24" s="5">
        <v>17</v>
      </c>
      <c r="B24" s="3">
        <v>0.33333333333333298</v>
      </c>
      <c r="C24" s="3">
        <v>0.75</v>
      </c>
      <c r="D24" s="4">
        <f t="shared" si="0"/>
        <v>0.41666666666666702</v>
      </c>
      <c r="E24" s="5">
        <f t="shared" si="1"/>
        <v>10.000000000000009</v>
      </c>
      <c r="F24" s="5">
        <f t="shared" si="2"/>
        <v>2.0000000000000089</v>
      </c>
      <c r="G24" s="5">
        <f t="shared" si="3"/>
        <v>0</v>
      </c>
      <c r="H24" s="5">
        <f t="shared" si="4"/>
        <v>550.00000000000045</v>
      </c>
      <c r="I24" s="5">
        <v>120</v>
      </c>
    </row>
    <row r="25" spans="1:9" x14ac:dyDescent="0.25">
      <c r="A25" s="5">
        <v>18</v>
      </c>
      <c r="B25" s="3">
        <v>0.32638888888888901</v>
      </c>
      <c r="C25" s="3">
        <v>0.66527777777777797</v>
      </c>
      <c r="D25" s="4">
        <f t="shared" si="0"/>
        <v>0.33888888888888896</v>
      </c>
      <c r="E25" s="5">
        <f t="shared" si="1"/>
        <v>8.1333333333333346</v>
      </c>
      <c r="F25" s="5">
        <f t="shared" si="2"/>
        <v>0.13333333333333464</v>
      </c>
      <c r="G25" s="5">
        <f t="shared" si="3"/>
        <v>0</v>
      </c>
      <c r="H25" s="5">
        <f t="shared" si="4"/>
        <v>447.33333333333343</v>
      </c>
      <c r="I25" s="5">
        <v>8</v>
      </c>
    </row>
    <row r="26" spans="1:9" x14ac:dyDescent="0.25">
      <c r="A26" s="5">
        <v>19</v>
      </c>
      <c r="B26" s="3">
        <v>0.33124999999999999</v>
      </c>
      <c r="C26" s="3">
        <v>0.66666666666666696</v>
      </c>
      <c r="D26" s="4">
        <f t="shared" si="0"/>
        <v>0.33541666666666697</v>
      </c>
      <c r="E26" s="5">
        <f t="shared" si="1"/>
        <v>8.0500000000000078</v>
      </c>
      <c r="F26" s="5">
        <f t="shared" si="2"/>
        <v>5.0000000000007816E-2</v>
      </c>
      <c r="G26" s="5">
        <f t="shared" si="3"/>
        <v>0</v>
      </c>
      <c r="H26" s="5">
        <f t="shared" si="4"/>
        <v>442.75000000000045</v>
      </c>
      <c r="I26" s="5">
        <v>3</v>
      </c>
    </row>
    <row r="27" spans="1:9" x14ac:dyDescent="0.25">
      <c r="A27" s="5">
        <v>20</v>
      </c>
      <c r="B27" s="3">
        <v>0.33055555555555599</v>
      </c>
      <c r="C27" s="3">
        <v>0.64375000000000004</v>
      </c>
      <c r="D27" s="4">
        <f t="shared" si="0"/>
        <v>0.31319444444444405</v>
      </c>
      <c r="E27" s="5">
        <f t="shared" si="1"/>
        <v>7.5166666666666568</v>
      </c>
      <c r="F27" s="5">
        <f t="shared" si="2"/>
        <v>0</v>
      </c>
      <c r="G27" s="5">
        <f t="shared" si="3"/>
        <v>0.48333333333334316</v>
      </c>
      <c r="H27" s="5">
        <f t="shared" si="4"/>
        <v>413.41666666666612</v>
      </c>
    </row>
    <row r="28" spans="1:9" x14ac:dyDescent="0.25">
      <c r="A28" s="5">
        <v>21</v>
      </c>
      <c r="B28" s="3">
        <v>0.32083333333333303</v>
      </c>
      <c r="C28" s="3">
        <v>0.65347222222222201</v>
      </c>
      <c r="D28" s="4">
        <f t="shared" si="0"/>
        <v>0.33263888888888898</v>
      </c>
      <c r="E28" s="5">
        <f t="shared" si="1"/>
        <v>7.9833333333333361</v>
      </c>
      <c r="F28" s="5">
        <f t="shared" si="2"/>
        <v>0</v>
      </c>
      <c r="G28" s="5">
        <f t="shared" si="3"/>
        <v>1.6666666666663943E-2</v>
      </c>
      <c r="H28" s="5">
        <f t="shared" si="4"/>
        <v>439.08333333333348</v>
      </c>
    </row>
    <row r="29" spans="1:9" x14ac:dyDescent="0.25">
      <c r="A29" s="2" t="s">
        <v>24</v>
      </c>
      <c r="B29" s="3">
        <v>0.375</v>
      </c>
      <c r="C29" s="3">
        <v>0.70833333333333304</v>
      </c>
      <c r="D29" s="4">
        <f t="shared" si="0"/>
        <v>0.33333333333333304</v>
      </c>
      <c r="E29" s="5">
        <f t="shared" si="1"/>
        <v>7.9999999999999929</v>
      </c>
      <c r="F29" s="5">
        <f t="shared" si="2"/>
        <v>0</v>
      </c>
      <c r="G29" s="5">
        <f t="shared" si="3"/>
        <v>7.1054273576010019E-15</v>
      </c>
      <c r="H29" s="5">
        <f t="shared" si="4"/>
        <v>439.9999999999996</v>
      </c>
    </row>
    <row r="30" spans="1:9" x14ac:dyDescent="0.25">
      <c r="A30" s="5">
        <v>23</v>
      </c>
      <c r="B30" s="3">
        <v>0.32222222222222202</v>
      </c>
      <c r="C30" s="3">
        <v>0.656944444444444</v>
      </c>
      <c r="D30" s="4">
        <f t="shared" si="0"/>
        <v>0.33472222222222198</v>
      </c>
      <c r="E30" s="5">
        <f t="shared" si="1"/>
        <v>8.0333333333333279</v>
      </c>
      <c r="F30" s="5">
        <f t="shared" si="2"/>
        <v>3.3333333333327886E-2</v>
      </c>
      <c r="G30" s="5">
        <f t="shared" si="3"/>
        <v>0</v>
      </c>
      <c r="H30" s="5">
        <f t="shared" si="4"/>
        <v>441.83333333333303</v>
      </c>
      <c r="I30" s="5">
        <v>2</v>
      </c>
    </row>
    <row r="31" spans="1:9" x14ac:dyDescent="0.25">
      <c r="A31" s="5">
        <v>24</v>
      </c>
      <c r="B31" s="3">
        <v>0.34166666666666701</v>
      </c>
      <c r="C31" s="3">
        <v>0.66666666666666696</v>
      </c>
      <c r="D31" s="4">
        <f t="shared" si="0"/>
        <v>0.32499999999999996</v>
      </c>
      <c r="E31" s="5">
        <f t="shared" si="1"/>
        <v>7.7999999999999989</v>
      </c>
      <c r="F31" s="5">
        <f t="shared" si="2"/>
        <v>0</v>
      </c>
      <c r="G31" s="5">
        <f t="shared" si="3"/>
        <v>0.20000000000000107</v>
      </c>
      <c r="H31" s="5">
        <f t="shared" si="4"/>
        <v>428.99999999999994</v>
      </c>
    </row>
    <row r="32" spans="1:9" x14ac:dyDescent="0.25">
      <c r="A32" s="5">
        <v>25</v>
      </c>
      <c r="B32" s="3">
        <v>0.32430555555555601</v>
      </c>
      <c r="C32" s="3">
        <v>0.64583333333333304</v>
      </c>
      <c r="D32" s="4">
        <f t="shared" si="0"/>
        <v>0.32152777777777702</v>
      </c>
      <c r="E32" s="5">
        <f t="shared" si="1"/>
        <v>7.716666666666649</v>
      </c>
      <c r="F32" s="5">
        <f t="shared" si="2"/>
        <v>0</v>
      </c>
      <c r="G32" s="5">
        <f t="shared" si="3"/>
        <v>0.28333333333335098</v>
      </c>
      <c r="H32" s="5">
        <f t="shared" si="4"/>
        <v>424.41666666666572</v>
      </c>
    </row>
    <row r="33" spans="1:8" x14ac:dyDescent="0.25">
      <c r="A33" s="5">
        <v>26</v>
      </c>
      <c r="B33" s="3">
        <v>0.33194444444444399</v>
      </c>
      <c r="C33" s="3">
        <v>0.64027777777777795</v>
      </c>
      <c r="D33" s="4">
        <f t="shared" si="0"/>
        <v>0.30833333333333396</v>
      </c>
      <c r="E33" s="5">
        <f t="shared" si="1"/>
        <v>7.4000000000000146</v>
      </c>
      <c r="F33" s="5">
        <f t="shared" si="2"/>
        <v>0</v>
      </c>
      <c r="G33" s="5">
        <f t="shared" si="3"/>
        <v>0.59999999999998543</v>
      </c>
      <c r="H33" s="5">
        <f t="shared" si="4"/>
        <v>407.0000000000008</v>
      </c>
    </row>
    <row r="34" spans="1:8" x14ac:dyDescent="0.25">
      <c r="A34" s="5">
        <v>27</v>
      </c>
      <c r="B34" s="3">
        <v>0.31527777777777799</v>
      </c>
      <c r="C34" s="3">
        <v>0.63124999999999998</v>
      </c>
      <c r="D34" s="4">
        <f t="shared" si="0"/>
        <v>0.31597222222222199</v>
      </c>
      <c r="E34" s="5">
        <f t="shared" si="1"/>
        <v>7.5833333333333277</v>
      </c>
      <c r="F34" s="5">
        <f t="shared" si="2"/>
        <v>0</v>
      </c>
      <c r="G34" s="5">
        <f t="shared" si="3"/>
        <v>0.41666666666667229</v>
      </c>
      <c r="H34" s="5">
        <f t="shared" si="4"/>
        <v>417.08333333333303</v>
      </c>
    </row>
    <row r="35" spans="1:8" x14ac:dyDescent="0.25">
      <c r="A35" s="5">
        <v>28</v>
      </c>
      <c r="B35" s="3">
        <v>0.33055555555555599</v>
      </c>
      <c r="C35" s="3">
        <v>0.63541666666666696</v>
      </c>
      <c r="D35" s="4">
        <f t="shared" si="0"/>
        <v>0.30486111111111097</v>
      </c>
      <c r="E35" s="5">
        <f t="shared" si="1"/>
        <v>7.3166666666666629</v>
      </c>
      <c r="F35" s="5">
        <f t="shared" si="2"/>
        <v>0</v>
      </c>
      <c r="G35" s="5">
        <f t="shared" si="3"/>
        <v>0.68333333333333712</v>
      </c>
      <c r="H35" s="5">
        <f t="shared" si="4"/>
        <v>402.41666666666646</v>
      </c>
    </row>
    <row r="36" spans="1:8" x14ac:dyDescent="0.25">
      <c r="A36" s="5">
        <v>29</v>
      </c>
      <c r="B36" s="3">
        <v>0.375</v>
      </c>
      <c r="C36" s="3">
        <v>0.70833333333333304</v>
      </c>
      <c r="D36" s="4">
        <f t="shared" ref="D36:D37" si="5">IF(C36&lt;B36,C36+1,C36)-B36</f>
        <v>0.33333333333333304</v>
      </c>
      <c r="E36" s="5">
        <f t="shared" si="1"/>
        <v>7.9999999999999929</v>
      </c>
      <c r="F36" s="5">
        <f t="shared" si="2"/>
        <v>0</v>
      </c>
      <c r="G36" s="5">
        <f t="shared" ref="G36:G37" si="6">IF(E36&lt;$B$3,$B$3-E36,0)</f>
        <v>7.1054273576010019E-15</v>
      </c>
      <c r="H36" s="5">
        <f t="shared" ref="H36:H37" si="7">$B$5*(E36/$B$3)</f>
        <v>439.9999999999996</v>
      </c>
    </row>
    <row r="37" spans="1:8" x14ac:dyDescent="0.25">
      <c r="A37" s="5">
        <v>30</v>
      </c>
      <c r="B37" s="3">
        <v>0.375</v>
      </c>
      <c r="C37" s="3">
        <v>0.70833333333333304</v>
      </c>
      <c r="D37" s="4">
        <f t="shared" si="5"/>
        <v>0.33333333333333304</v>
      </c>
      <c r="E37" s="5">
        <f t="shared" si="1"/>
        <v>7.9999999999999929</v>
      </c>
      <c r="F37" s="5">
        <f t="shared" si="2"/>
        <v>0</v>
      </c>
      <c r="G37" s="5">
        <f t="shared" si="6"/>
        <v>7.1054273576010019E-15</v>
      </c>
      <c r="H37" s="5">
        <f t="shared" si="7"/>
        <v>439.9999999999996</v>
      </c>
    </row>
    <row r="38" spans="1:8" x14ac:dyDescent="0.25">
      <c r="A38" s="5" t="s">
        <v>34</v>
      </c>
      <c r="B38" s="3">
        <v>0.375</v>
      </c>
      <c r="C38" s="3">
        <v>0.70833333333333304</v>
      </c>
      <c r="D38" s="4">
        <f t="shared" ref="D38" si="8">IF(C38&lt;B38,C38+1,C38)-B38</f>
        <v>0.33333333333333304</v>
      </c>
      <c r="E38" s="5">
        <f t="shared" si="1"/>
        <v>7.9999999999999929</v>
      </c>
      <c r="F38" s="5">
        <f t="shared" si="2"/>
        <v>0</v>
      </c>
      <c r="G38" s="5">
        <f t="shared" ref="G38" si="9">IF(E38&lt;$B$3,$B$3-E38,0)</f>
        <v>7.1054273576010019E-15</v>
      </c>
      <c r="H38" s="5">
        <f t="shared" ref="H38" si="10">$B$5*(E38/$B$3)</f>
        <v>439.9999999999996</v>
      </c>
    </row>
    <row r="39" spans="1:8" x14ac:dyDescent="0.25">
      <c r="A39" s="1" t="s">
        <v>14</v>
      </c>
      <c r="D39" s="4"/>
      <c r="E39" s="5">
        <f>SUM(E8:E35)</f>
        <v>249.39999999999992</v>
      </c>
      <c r="F39" s="5">
        <f>SUM(F8:F35)</f>
        <v>28.116666666666632</v>
      </c>
      <c r="H39" s="5">
        <f>SUM(H8:H38)</f>
        <v>15036.999999999995</v>
      </c>
    </row>
    <row r="41" spans="1:8" s="7" customFormat="1" x14ac:dyDescent="0.25">
      <c r="A41" s="8" t="s">
        <v>20</v>
      </c>
      <c r="H41" s="7">
        <f>SUM(H8:H38)-200</f>
        <v>14836.999999999995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16" zoomScale="95" zoomScaleNormal="95" workbookViewId="0">
      <selection activeCell="A31" sqref="A31"/>
    </sheetView>
  </sheetViews>
  <sheetFormatPr defaultColWidth="8.7109375" defaultRowHeight="15" x14ac:dyDescent="0.25"/>
  <cols>
    <col min="1" max="1" width="20.140625" style="5" customWidth="1"/>
    <col min="2" max="2" width="14.28515625" style="5" bestFit="1" customWidth="1"/>
    <col min="3" max="3" width="11.85546875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16384" width="8.7109375" style="5"/>
  </cols>
  <sheetData>
    <row r="1" spans="1:8" x14ac:dyDescent="0.25">
      <c r="A1" s="12" t="s">
        <v>0</v>
      </c>
      <c r="B1" s="9" t="s">
        <v>25</v>
      </c>
    </row>
    <row r="2" spans="1:8" x14ac:dyDescent="0.25">
      <c r="A2" s="12" t="s">
        <v>2</v>
      </c>
      <c r="B2" s="5">
        <v>26950</v>
      </c>
      <c r="C2" s="11"/>
    </row>
    <row r="3" spans="1:8" x14ac:dyDescent="0.25">
      <c r="A3" s="12" t="s">
        <v>3</v>
      </c>
      <c r="B3" s="5">
        <v>8</v>
      </c>
    </row>
    <row r="4" spans="1:8" ht="29.25" x14ac:dyDescent="0.25">
      <c r="A4" s="13" t="s">
        <v>4</v>
      </c>
      <c r="B4" s="5">
        <v>30</v>
      </c>
    </row>
    <row r="5" spans="1:8" x14ac:dyDescent="0.25">
      <c r="A5" s="12" t="s">
        <v>5</v>
      </c>
      <c r="B5" s="5">
        <f>B2/B4</f>
        <v>898.33333333333337</v>
      </c>
    </row>
    <row r="7" spans="1:8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8" x14ac:dyDescent="0.25">
      <c r="A8" s="2" t="s">
        <v>16</v>
      </c>
      <c r="B8" s="3">
        <v>0.375</v>
      </c>
      <c r="C8" s="3">
        <v>0.70833333333333304</v>
      </c>
      <c r="D8" s="4">
        <f t="shared" ref="D8:D35" si="0">IF(C8&lt;B8,C8+1,C8)-B8</f>
        <v>0.33333333333333304</v>
      </c>
      <c r="E8" s="5">
        <f t="shared" ref="E8:E35" si="1">D8*24</f>
        <v>7.9999999999999929</v>
      </c>
      <c r="F8" s="5">
        <f t="shared" ref="F8:F35" si="2">IF(E8&gt;$B$3,E8-$B$3,0)</f>
        <v>0</v>
      </c>
      <c r="G8" s="5">
        <f t="shared" ref="G8:G35" si="3">IF(E8&lt;$B$3,$B$3-E8,0)</f>
        <v>7.1054273576010019E-15</v>
      </c>
      <c r="H8" s="5">
        <f t="shared" ref="H8:H35" si="4">$B$5*(E8/$B$3)</f>
        <v>898.33333333333258</v>
      </c>
    </row>
    <row r="9" spans="1:8" x14ac:dyDescent="0.25">
      <c r="A9" s="5">
        <v>2</v>
      </c>
      <c r="B9" s="3">
        <v>0.375</v>
      </c>
      <c r="C9" s="3">
        <v>0.70833333333333304</v>
      </c>
      <c r="D9" s="4">
        <f t="shared" si="0"/>
        <v>0.33333333333333304</v>
      </c>
      <c r="E9" s="5">
        <f t="shared" si="1"/>
        <v>7.9999999999999929</v>
      </c>
      <c r="F9" s="5">
        <f t="shared" si="2"/>
        <v>0</v>
      </c>
      <c r="G9" s="5">
        <f t="shared" si="3"/>
        <v>7.1054273576010019E-15</v>
      </c>
      <c r="H9" s="5">
        <f t="shared" si="4"/>
        <v>898.33333333333258</v>
      </c>
    </row>
    <row r="10" spans="1:8" x14ac:dyDescent="0.25">
      <c r="A10" s="5">
        <v>3</v>
      </c>
      <c r="B10" s="3">
        <v>0.39027777777777778</v>
      </c>
      <c r="C10" s="3">
        <v>0.70694444444444438</v>
      </c>
      <c r="D10" s="4">
        <f t="shared" si="0"/>
        <v>0.3166666666666666</v>
      </c>
      <c r="E10" s="5">
        <f t="shared" si="1"/>
        <v>7.5999999999999979</v>
      </c>
      <c r="F10" s="5">
        <f t="shared" si="2"/>
        <v>0</v>
      </c>
      <c r="G10" s="5">
        <f t="shared" si="3"/>
        <v>0.40000000000000213</v>
      </c>
      <c r="H10" s="5">
        <f t="shared" si="4"/>
        <v>853.41666666666652</v>
      </c>
    </row>
    <row r="11" spans="1:8" x14ac:dyDescent="0.25">
      <c r="A11" s="5">
        <v>4</v>
      </c>
      <c r="B11" s="3">
        <v>0.37777777777777777</v>
      </c>
      <c r="C11" s="3">
        <v>0.70833333333333304</v>
      </c>
      <c r="D11" s="4">
        <f t="shared" si="0"/>
        <v>0.33055555555555527</v>
      </c>
      <c r="E11" s="5">
        <f t="shared" si="1"/>
        <v>7.9333333333333265</v>
      </c>
      <c r="F11" s="5">
        <f t="shared" si="2"/>
        <v>0</v>
      </c>
      <c r="G11" s="5">
        <f t="shared" si="3"/>
        <v>6.6666666666673535E-2</v>
      </c>
      <c r="H11" s="5">
        <f t="shared" si="4"/>
        <v>890.84722222222149</v>
      </c>
    </row>
    <row r="12" spans="1:8" x14ac:dyDescent="0.25">
      <c r="A12" s="5">
        <v>5</v>
      </c>
      <c r="B12" s="3">
        <v>0.375</v>
      </c>
      <c r="C12" s="3">
        <v>0.70833333333333304</v>
      </c>
      <c r="D12" s="4">
        <f t="shared" si="0"/>
        <v>0.33333333333333304</v>
      </c>
      <c r="E12" s="5">
        <f t="shared" si="1"/>
        <v>7.9999999999999929</v>
      </c>
      <c r="F12" s="5">
        <f t="shared" si="2"/>
        <v>0</v>
      </c>
      <c r="G12" s="5">
        <f t="shared" si="3"/>
        <v>7.1054273576010019E-15</v>
      </c>
      <c r="H12" s="5">
        <f t="shared" si="4"/>
        <v>898.33333333333258</v>
      </c>
    </row>
    <row r="13" spans="1:8" x14ac:dyDescent="0.25">
      <c r="A13" s="5">
        <v>6</v>
      </c>
      <c r="B13" s="3">
        <v>0.38541666666666669</v>
      </c>
      <c r="C13" s="3">
        <v>0.73263888888888884</v>
      </c>
      <c r="D13" s="4">
        <f t="shared" si="0"/>
        <v>0.34722222222222215</v>
      </c>
      <c r="E13" s="5">
        <f t="shared" si="1"/>
        <v>8.3333333333333321</v>
      </c>
      <c r="F13" s="5">
        <f t="shared" si="2"/>
        <v>0.33333333333333215</v>
      </c>
      <c r="G13" s="5">
        <f t="shared" si="3"/>
        <v>0</v>
      </c>
      <c r="H13" s="5">
        <f t="shared" si="4"/>
        <v>935.7638888888888</v>
      </c>
    </row>
    <row r="14" spans="1:8" x14ac:dyDescent="0.25">
      <c r="A14" s="5">
        <v>7</v>
      </c>
      <c r="B14" s="3">
        <v>0.38680555555555557</v>
      </c>
      <c r="C14" s="3">
        <v>0.73263888888888884</v>
      </c>
      <c r="D14" s="4">
        <f t="shared" si="0"/>
        <v>0.34583333333333327</v>
      </c>
      <c r="E14" s="5">
        <f t="shared" si="1"/>
        <v>8.2999999999999989</v>
      </c>
      <c r="F14" s="5">
        <f t="shared" si="2"/>
        <v>0.29999999999999893</v>
      </c>
      <c r="G14" s="5">
        <f t="shared" si="3"/>
        <v>0</v>
      </c>
      <c r="H14" s="5">
        <f t="shared" si="4"/>
        <v>932.02083333333326</v>
      </c>
    </row>
    <row r="15" spans="1:8" x14ac:dyDescent="0.25">
      <c r="A15" s="2" t="s">
        <v>17</v>
      </c>
      <c r="B15" s="3">
        <v>0.375</v>
      </c>
      <c r="C15" s="3">
        <v>0.70833333333333304</v>
      </c>
      <c r="D15" s="4">
        <f t="shared" si="0"/>
        <v>0.33333333333333304</v>
      </c>
      <c r="E15" s="5">
        <f t="shared" si="1"/>
        <v>7.9999999999999929</v>
      </c>
      <c r="F15" s="5">
        <f t="shared" si="2"/>
        <v>0</v>
      </c>
      <c r="G15" s="5">
        <f t="shared" si="3"/>
        <v>7.1054273576010019E-15</v>
      </c>
      <c r="H15" s="5">
        <f t="shared" si="4"/>
        <v>898.33333333333258</v>
      </c>
    </row>
    <row r="16" spans="1:8" x14ac:dyDescent="0.25">
      <c r="A16" s="5">
        <v>9</v>
      </c>
      <c r="B16" s="3">
        <v>0.39583333333333331</v>
      </c>
      <c r="C16" s="3">
        <v>0.7583333333333333</v>
      </c>
      <c r="D16" s="4">
        <f t="shared" si="0"/>
        <v>0.36249999999999999</v>
      </c>
      <c r="E16" s="5">
        <f t="shared" si="1"/>
        <v>8.6999999999999993</v>
      </c>
      <c r="F16" s="5">
        <f t="shared" si="2"/>
        <v>0.69999999999999929</v>
      </c>
      <c r="G16" s="5">
        <f t="shared" si="3"/>
        <v>0</v>
      </c>
      <c r="H16" s="5">
        <f t="shared" si="4"/>
        <v>976.9375</v>
      </c>
    </row>
    <row r="17" spans="1:8" x14ac:dyDescent="0.25">
      <c r="A17" s="5">
        <v>10</v>
      </c>
      <c r="B17" s="3">
        <v>0.36805555555555558</v>
      </c>
      <c r="C17" s="3">
        <v>0.7104166666666667</v>
      </c>
      <c r="D17" s="4">
        <f t="shared" si="0"/>
        <v>0.34236111111111112</v>
      </c>
      <c r="E17" s="5">
        <f t="shared" si="1"/>
        <v>8.2166666666666668</v>
      </c>
      <c r="F17" s="5">
        <f t="shared" si="2"/>
        <v>0.21666666666666679</v>
      </c>
      <c r="G17" s="5">
        <f t="shared" si="3"/>
        <v>0</v>
      </c>
      <c r="H17" s="5">
        <f t="shared" si="4"/>
        <v>922.66319444444446</v>
      </c>
    </row>
    <row r="18" spans="1:8" x14ac:dyDescent="0.25">
      <c r="A18" s="5">
        <v>11</v>
      </c>
      <c r="B18" s="3">
        <v>0.38958333333333334</v>
      </c>
      <c r="C18" s="3">
        <v>0.69930555555555562</v>
      </c>
      <c r="D18" s="4">
        <f t="shared" si="0"/>
        <v>0.30972222222222229</v>
      </c>
      <c r="E18" s="5">
        <f t="shared" si="1"/>
        <v>7.4333333333333353</v>
      </c>
      <c r="F18" s="5">
        <f t="shared" si="2"/>
        <v>0</v>
      </c>
      <c r="G18" s="5">
        <f t="shared" si="3"/>
        <v>0.56666666666666465</v>
      </c>
      <c r="H18" s="5">
        <f t="shared" si="4"/>
        <v>834.70138888888914</v>
      </c>
    </row>
    <row r="19" spans="1:8" x14ac:dyDescent="0.25">
      <c r="A19" s="5">
        <v>12</v>
      </c>
      <c r="B19" s="3">
        <v>0.38750000000000001</v>
      </c>
      <c r="C19" s="3">
        <v>0.71388888888888891</v>
      </c>
      <c r="D19" s="4">
        <f t="shared" si="0"/>
        <v>0.3263888888888889</v>
      </c>
      <c r="E19" s="5">
        <f t="shared" si="1"/>
        <v>7.8333333333333339</v>
      </c>
      <c r="F19" s="5">
        <f t="shared" si="2"/>
        <v>0</v>
      </c>
      <c r="G19" s="5">
        <f t="shared" si="3"/>
        <v>0.16666666666666607</v>
      </c>
      <c r="H19" s="5">
        <f t="shared" si="4"/>
        <v>879.61805555555566</v>
      </c>
    </row>
    <row r="20" spans="1:8" x14ac:dyDescent="0.25">
      <c r="A20" s="5">
        <v>13</v>
      </c>
      <c r="B20" s="3">
        <v>0.3972222222222222</v>
      </c>
      <c r="C20" s="3">
        <v>0.74583333333333324</v>
      </c>
      <c r="D20" s="4">
        <f t="shared" si="0"/>
        <v>0.34861111111111104</v>
      </c>
      <c r="E20" s="5">
        <f t="shared" si="1"/>
        <v>8.3666666666666654</v>
      </c>
      <c r="F20" s="5">
        <f t="shared" si="2"/>
        <v>0.36666666666666536</v>
      </c>
      <c r="G20" s="5">
        <f t="shared" si="3"/>
        <v>0</v>
      </c>
      <c r="H20" s="5">
        <f t="shared" si="4"/>
        <v>939.50694444444434</v>
      </c>
    </row>
    <row r="21" spans="1:8" x14ac:dyDescent="0.25">
      <c r="A21" s="5">
        <v>14</v>
      </c>
      <c r="B21" s="3">
        <v>0.38541666666666669</v>
      </c>
      <c r="C21" s="3">
        <v>0.7090277777777777</v>
      </c>
      <c r="D21" s="4">
        <f t="shared" si="0"/>
        <v>0.32361111111111102</v>
      </c>
      <c r="E21" s="5">
        <f t="shared" si="1"/>
        <v>7.7666666666666639</v>
      </c>
      <c r="F21" s="5">
        <f t="shared" si="2"/>
        <v>0</v>
      </c>
      <c r="G21" s="5">
        <f t="shared" si="3"/>
        <v>0.23333333333333606</v>
      </c>
      <c r="H21" s="5">
        <f t="shared" si="4"/>
        <v>872.13194444444423</v>
      </c>
    </row>
    <row r="22" spans="1:8" x14ac:dyDescent="0.25">
      <c r="A22" s="2" t="s">
        <v>18</v>
      </c>
      <c r="B22" s="3">
        <v>0.375</v>
      </c>
      <c r="C22" s="3">
        <v>0.72916666666666663</v>
      </c>
      <c r="D22" s="4">
        <f t="shared" si="0"/>
        <v>0.35416666666666663</v>
      </c>
      <c r="E22" s="5">
        <f t="shared" si="1"/>
        <v>8.5</v>
      </c>
      <c r="F22" s="5">
        <f t="shared" si="2"/>
        <v>0.5</v>
      </c>
      <c r="G22" s="5">
        <f t="shared" si="3"/>
        <v>0</v>
      </c>
      <c r="H22" s="5">
        <f t="shared" si="4"/>
        <v>954.47916666666674</v>
      </c>
    </row>
    <row r="23" spans="1:8" x14ac:dyDescent="0.25">
      <c r="A23" s="5">
        <v>16</v>
      </c>
      <c r="B23" s="3">
        <v>0.3888888888888889</v>
      </c>
      <c r="C23" s="3">
        <v>0.72291666666666676</v>
      </c>
      <c r="D23" s="4">
        <f t="shared" si="0"/>
        <v>0.33402777777777787</v>
      </c>
      <c r="E23" s="5">
        <f t="shared" si="1"/>
        <v>8.0166666666666693</v>
      </c>
      <c r="F23" s="5">
        <f t="shared" si="2"/>
        <v>1.6666666666669272E-2</v>
      </c>
      <c r="G23" s="5">
        <f t="shared" si="3"/>
        <v>0</v>
      </c>
      <c r="H23" s="5">
        <f t="shared" si="4"/>
        <v>900.20486111111143</v>
      </c>
    </row>
    <row r="24" spans="1:8" x14ac:dyDescent="0.25">
      <c r="A24" s="5">
        <v>17</v>
      </c>
      <c r="B24" s="3">
        <v>0.37986111111111115</v>
      </c>
      <c r="C24" s="3">
        <v>0.72777777777777775</v>
      </c>
      <c r="D24" s="4">
        <f t="shared" si="0"/>
        <v>0.3479166666666666</v>
      </c>
      <c r="E24" s="5">
        <f t="shared" si="1"/>
        <v>8.3499999999999979</v>
      </c>
      <c r="F24" s="5">
        <f t="shared" si="2"/>
        <v>0.34999999999999787</v>
      </c>
      <c r="G24" s="5">
        <f t="shared" si="3"/>
        <v>0</v>
      </c>
      <c r="H24" s="5">
        <f t="shared" si="4"/>
        <v>937.63541666666652</v>
      </c>
    </row>
    <row r="25" spans="1:8" x14ac:dyDescent="0.25">
      <c r="A25" s="5">
        <v>18</v>
      </c>
      <c r="B25" s="3">
        <v>0.38541666666666669</v>
      </c>
      <c r="C25" s="3">
        <v>0.73958333333333337</v>
      </c>
      <c r="D25" s="4">
        <f t="shared" si="0"/>
        <v>0.35416666666666669</v>
      </c>
      <c r="E25" s="5">
        <f t="shared" si="1"/>
        <v>8.5</v>
      </c>
      <c r="F25" s="5">
        <f t="shared" si="2"/>
        <v>0.5</v>
      </c>
      <c r="G25" s="5">
        <f t="shared" si="3"/>
        <v>0</v>
      </c>
      <c r="H25" s="5">
        <f t="shared" si="4"/>
        <v>954.47916666666674</v>
      </c>
    </row>
    <row r="26" spans="1:8" x14ac:dyDescent="0.25">
      <c r="A26" s="5">
        <v>19</v>
      </c>
      <c r="B26" s="3">
        <v>0.38194444444444442</v>
      </c>
      <c r="C26" s="3">
        <v>0.72430555555555554</v>
      </c>
      <c r="D26" s="4">
        <f t="shared" si="0"/>
        <v>0.34236111111111112</v>
      </c>
      <c r="E26" s="5">
        <f t="shared" si="1"/>
        <v>8.2166666666666668</v>
      </c>
      <c r="F26" s="5">
        <f t="shared" si="2"/>
        <v>0.21666666666666679</v>
      </c>
      <c r="G26" s="5">
        <f t="shared" si="3"/>
        <v>0</v>
      </c>
      <c r="H26" s="5">
        <f t="shared" si="4"/>
        <v>922.66319444444446</v>
      </c>
    </row>
    <row r="27" spans="1:8" x14ac:dyDescent="0.25">
      <c r="A27" s="5">
        <v>20</v>
      </c>
      <c r="B27" s="3">
        <v>0.3666666666666667</v>
      </c>
      <c r="C27" s="3">
        <v>0.6875</v>
      </c>
      <c r="D27" s="4">
        <f t="shared" si="0"/>
        <v>0.3208333333333333</v>
      </c>
      <c r="E27" s="5">
        <f t="shared" si="1"/>
        <v>7.6999999999999993</v>
      </c>
      <c r="F27" s="5">
        <f t="shared" si="2"/>
        <v>0</v>
      </c>
      <c r="G27" s="5">
        <f t="shared" si="3"/>
        <v>0.30000000000000071</v>
      </c>
      <c r="H27" s="5">
        <f t="shared" si="4"/>
        <v>864.64583333333326</v>
      </c>
    </row>
    <row r="28" spans="1:8" x14ac:dyDescent="0.25">
      <c r="A28" s="5">
        <v>21</v>
      </c>
      <c r="B28" s="3">
        <v>0.3840277777777778</v>
      </c>
      <c r="C28" s="3">
        <v>0.68472222222222223</v>
      </c>
      <c r="D28" s="4">
        <f t="shared" si="0"/>
        <v>0.30069444444444443</v>
      </c>
      <c r="E28" s="5">
        <f t="shared" si="1"/>
        <v>7.2166666666666668</v>
      </c>
      <c r="F28" s="5">
        <f t="shared" si="2"/>
        <v>0</v>
      </c>
      <c r="G28" s="5">
        <f t="shared" si="3"/>
        <v>0.78333333333333321</v>
      </c>
      <c r="H28" s="5">
        <f t="shared" si="4"/>
        <v>810.37152777777783</v>
      </c>
    </row>
    <row r="29" spans="1:8" x14ac:dyDescent="0.25">
      <c r="A29" s="2" t="s">
        <v>19</v>
      </c>
      <c r="B29" s="3">
        <v>0.375</v>
      </c>
      <c r="C29" s="3">
        <v>0.70833333333333304</v>
      </c>
      <c r="D29" s="4">
        <f t="shared" si="0"/>
        <v>0.33333333333333304</v>
      </c>
      <c r="E29" s="5">
        <f t="shared" si="1"/>
        <v>7.9999999999999929</v>
      </c>
      <c r="F29" s="5">
        <f t="shared" si="2"/>
        <v>0</v>
      </c>
      <c r="G29" s="5">
        <f t="shared" si="3"/>
        <v>7.1054273576010019E-15</v>
      </c>
      <c r="H29" s="5">
        <f t="shared" si="4"/>
        <v>898.33333333333258</v>
      </c>
    </row>
    <row r="30" spans="1:8" x14ac:dyDescent="0.25">
      <c r="A30" s="5">
        <v>23</v>
      </c>
      <c r="B30" s="3">
        <v>0.38472222222222219</v>
      </c>
      <c r="C30" s="3">
        <v>0.73333333333333339</v>
      </c>
      <c r="D30" s="4">
        <f t="shared" si="0"/>
        <v>0.3486111111111112</v>
      </c>
      <c r="E30" s="5">
        <f t="shared" si="1"/>
        <v>8.3666666666666689</v>
      </c>
      <c r="F30" s="5">
        <f t="shared" si="2"/>
        <v>0.36666666666666892</v>
      </c>
      <c r="G30" s="5">
        <f t="shared" si="3"/>
        <v>0</v>
      </c>
      <c r="H30" s="5">
        <f t="shared" si="4"/>
        <v>939.50694444444468</v>
      </c>
    </row>
    <row r="31" spans="1:8" x14ac:dyDescent="0.25">
      <c r="A31" s="5" t="s">
        <v>41</v>
      </c>
      <c r="B31" s="3">
        <v>0.375</v>
      </c>
      <c r="C31" s="3">
        <v>0.70833333333333304</v>
      </c>
      <c r="D31" s="4">
        <f t="shared" si="0"/>
        <v>0.33333333333333304</v>
      </c>
      <c r="E31" s="5">
        <f t="shared" si="1"/>
        <v>7.9999999999999929</v>
      </c>
      <c r="F31" s="5">
        <f t="shared" si="2"/>
        <v>0</v>
      </c>
      <c r="G31" s="5">
        <f t="shared" si="3"/>
        <v>7.1054273576010019E-15</v>
      </c>
      <c r="H31" s="5">
        <f t="shared" si="4"/>
        <v>898.33333333333258</v>
      </c>
    </row>
    <row r="32" spans="1:8" x14ac:dyDescent="0.25">
      <c r="A32" s="5">
        <v>25</v>
      </c>
      <c r="B32" s="3">
        <v>0.34375</v>
      </c>
      <c r="C32" s="3">
        <v>0.67708333333333337</v>
      </c>
      <c r="D32" s="4">
        <f t="shared" si="0"/>
        <v>0.33333333333333337</v>
      </c>
      <c r="E32" s="5">
        <f t="shared" si="1"/>
        <v>8</v>
      </c>
      <c r="F32" s="5">
        <f t="shared" si="2"/>
        <v>0</v>
      </c>
      <c r="G32" s="5">
        <f t="shared" si="3"/>
        <v>0</v>
      </c>
      <c r="H32" s="5">
        <f t="shared" si="4"/>
        <v>898.33333333333337</v>
      </c>
    </row>
    <row r="33" spans="1:8" x14ac:dyDescent="0.25">
      <c r="A33" s="5">
        <v>26</v>
      </c>
      <c r="B33" s="3">
        <v>0.37222222222222223</v>
      </c>
      <c r="C33" s="3">
        <v>0.70416666666666661</v>
      </c>
      <c r="D33" s="4">
        <f t="shared" si="0"/>
        <v>0.33194444444444438</v>
      </c>
      <c r="E33" s="5">
        <f t="shared" si="1"/>
        <v>7.966666666666665</v>
      </c>
      <c r="F33" s="5">
        <f t="shared" si="2"/>
        <v>0</v>
      </c>
      <c r="G33" s="5">
        <f t="shared" si="3"/>
        <v>3.3333333333334991E-2</v>
      </c>
      <c r="H33" s="5">
        <f t="shared" si="4"/>
        <v>894.5902777777776</v>
      </c>
    </row>
    <row r="34" spans="1:8" x14ac:dyDescent="0.25">
      <c r="A34" s="5">
        <v>27</v>
      </c>
      <c r="B34" s="3">
        <v>0.36041666666666666</v>
      </c>
      <c r="C34" s="3">
        <v>0.66736111111111107</v>
      </c>
      <c r="D34" s="4">
        <f t="shared" si="0"/>
        <v>0.30694444444444441</v>
      </c>
      <c r="E34" s="5">
        <f t="shared" si="1"/>
        <v>7.3666666666666654</v>
      </c>
      <c r="F34" s="5">
        <f t="shared" si="2"/>
        <v>0</v>
      </c>
      <c r="G34" s="5">
        <f t="shared" si="3"/>
        <v>0.63333333333333464</v>
      </c>
      <c r="H34" s="5">
        <f t="shared" si="4"/>
        <v>827.21527777777771</v>
      </c>
    </row>
    <row r="35" spans="1:8" x14ac:dyDescent="0.25">
      <c r="A35" s="5">
        <v>28</v>
      </c>
      <c r="B35" s="3">
        <v>0.3888888888888889</v>
      </c>
      <c r="C35" s="3">
        <v>0.6791666666666667</v>
      </c>
      <c r="D35" s="4">
        <f t="shared" si="0"/>
        <v>0.2902777777777778</v>
      </c>
      <c r="E35" s="5">
        <f t="shared" si="1"/>
        <v>6.9666666666666668</v>
      </c>
      <c r="F35" s="5">
        <f t="shared" si="2"/>
        <v>0</v>
      </c>
      <c r="G35" s="5">
        <f t="shared" si="3"/>
        <v>1.0333333333333332</v>
      </c>
      <c r="H35" s="5">
        <f t="shared" si="4"/>
        <v>782.2986111111112</v>
      </c>
    </row>
    <row r="36" spans="1:8" x14ac:dyDescent="0.25">
      <c r="A36" s="5">
        <v>29</v>
      </c>
      <c r="B36" s="3">
        <v>0.375</v>
      </c>
      <c r="C36" s="3">
        <v>0.70833333333333304</v>
      </c>
      <c r="D36" s="4">
        <f t="shared" ref="D36:D37" si="5">IF(C36&lt;B36,C36+1,C36)-B36</f>
        <v>0.33333333333333304</v>
      </c>
      <c r="E36" s="5">
        <f t="shared" ref="E36:E37" si="6">D36*24</f>
        <v>7.9999999999999929</v>
      </c>
      <c r="F36" s="5">
        <f t="shared" ref="F36:F37" si="7">IF(E36&gt;$B$3,E36-$B$3,0)</f>
        <v>0</v>
      </c>
      <c r="G36" s="5">
        <f t="shared" ref="G36:G37" si="8">IF(E36&lt;$B$3,$B$3-E36,0)</f>
        <v>7.1054273576010019E-15</v>
      </c>
      <c r="H36" s="5">
        <f t="shared" ref="H36:H37" si="9">$B$5*(E36/$B$3)</f>
        <v>898.33333333333258</v>
      </c>
    </row>
    <row r="37" spans="1:8" x14ac:dyDescent="0.25">
      <c r="A37" s="5">
        <v>30</v>
      </c>
      <c r="B37" s="3">
        <v>0.375</v>
      </c>
      <c r="C37" s="3">
        <v>0.70833333333333304</v>
      </c>
      <c r="D37" s="4">
        <f t="shared" si="5"/>
        <v>0.33333333333333304</v>
      </c>
      <c r="E37" s="5">
        <f t="shared" si="6"/>
        <v>7.9999999999999929</v>
      </c>
      <c r="F37" s="5">
        <f t="shared" si="7"/>
        <v>0</v>
      </c>
      <c r="G37" s="5">
        <f t="shared" si="8"/>
        <v>7.1054273576010019E-15</v>
      </c>
      <c r="H37" s="5">
        <f t="shared" si="9"/>
        <v>898.33333333333258</v>
      </c>
    </row>
    <row r="38" spans="1:8" x14ac:dyDescent="0.25">
      <c r="A38" s="1" t="s">
        <v>14</v>
      </c>
      <c r="E38" s="5">
        <f>SUM(E8:E35)</f>
        <v>223.64999999999998</v>
      </c>
      <c r="F38" s="5">
        <f>SUM(F8:F35)</f>
        <v>3.8666666666666654</v>
      </c>
      <c r="H38" s="5">
        <f>SUM(H8:H37)</f>
        <v>26910.69791666665</v>
      </c>
    </row>
    <row r="40" spans="1:8" s="7" customFormat="1" x14ac:dyDescent="0.25">
      <c r="A40" s="8" t="s">
        <v>20</v>
      </c>
      <c r="H40" s="7">
        <f>SUM(H8:H37)-200</f>
        <v>26710.69791666665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19" zoomScale="95" zoomScaleNormal="95" workbookViewId="0">
      <selection activeCell="E43" sqref="E43"/>
    </sheetView>
  </sheetViews>
  <sheetFormatPr defaultColWidth="8.7109375" defaultRowHeight="15" x14ac:dyDescent="0.25"/>
  <cols>
    <col min="1" max="1" width="20.28515625" style="5" customWidth="1"/>
    <col min="2" max="2" width="16" style="5" bestFit="1" customWidth="1"/>
    <col min="3" max="3" width="11.85546875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16384" width="8.7109375" style="5"/>
  </cols>
  <sheetData>
    <row r="1" spans="1:8" x14ac:dyDescent="0.25">
      <c r="A1" s="12" t="s">
        <v>0</v>
      </c>
      <c r="B1" s="9" t="s">
        <v>32</v>
      </c>
    </row>
    <row r="2" spans="1:8" x14ac:dyDescent="0.25">
      <c r="A2" s="12" t="s">
        <v>2</v>
      </c>
      <c r="B2" s="5">
        <v>24200</v>
      </c>
    </row>
    <row r="3" spans="1:8" x14ac:dyDescent="0.25">
      <c r="A3" s="12" t="s">
        <v>3</v>
      </c>
      <c r="B3" s="5">
        <v>3</v>
      </c>
    </row>
    <row r="4" spans="1:8" ht="29.25" x14ac:dyDescent="0.25">
      <c r="A4" s="13" t="s">
        <v>4</v>
      </c>
      <c r="B4" s="5">
        <v>30</v>
      </c>
    </row>
    <row r="5" spans="1:8" x14ac:dyDescent="0.25">
      <c r="A5" s="12" t="s">
        <v>5</v>
      </c>
      <c r="B5" s="5">
        <f>B2/B4</f>
        <v>806.66666666666663</v>
      </c>
    </row>
    <row r="7" spans="1:8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8" x14ac:dyDescent="0.25">
      <c r="A8" s="2" t="s">
        <v>22</v>
      </c>
      <c r="B8" s="3">
        <v>0.70833333333333304</v>
      </c>
      <c r="C8" s="3">
        <v>0.83333333333333304</v>
      </c>
      <c r="D8" s="4">
        <f t="shared" ref="D8:D35" si="0">IF(C8&lt;B8,C8+1,C8)-B8</f>
        <v>0.125</v>
      </c>
      <c r="E8" s="5">
        <f t="shared" ref="E8:E37" si="1">D8*24</f>
        <v>3</v>
      </c>
      <c r="F8" s="5">
        <f t="shared" ref="F8:F37" si="2">IF(E8&gt;$B$3,E8-$B$3,0)</f>
        <v>0</v>
      </c>
      <c r="G8" s="5">
        <f t="shared" ref="G8:G35" si="3">IF(E8&lt;$B$3,$B$3-E8,0)</f>
        <v>0</v>
      </c>
      <c r="H8" s="5">
        <f t="shared" ref="H8:H35" si="4">$B$5*(E8/$B$3)</f>
        <v>806.66666666666663</v>
      </c>
    </row>
    <row r="9" spans="1:8" x14ac:dyDescent="0.25">
      <c r="A9" s="5">
        <v>2</v>
      </c>
      <c r="B9" s="3">
        <v>0.70138888888888895</v>
      </c>
      <c r="C9" s="3">
        <v>0.84027777777777801</v>
      </c>
      <c r="D9" s="4">
        <f t="shared" si="0"/>
        <v>0.13888888888888906</v>
      </c>
      <c r="E9" s="5">
        <f t="shared" si="1"/>
        <v>3.3333333333333375</v>
      </c>
      <c r="F9" s="5">
        <f t="shared" si="2"/>
        <v>0.33333333333333748</v>
      </c>
      <c r="G9" s="5">
        <f t="shared" si="3"/>
        <v>0</v>
      </c>
      <c r="H9" s="5">
        <f t="shared" si="4"/>
        <v>896.29629629629733</v>
      </c>
    </row>
    <row r="10" spans="1:8" x14ac:dyDescent="0.25">
      <c r="A10" s="5">
        <v>3</v>
      </c>
      <c r="B10" s="3">
        <v>0.69791666666666696</v>
      </c>
      <c r="C10" s="3">
        <v>0.83333333333333304</v>
      </c>
      <c r="D10" s="4">
        <f t="shared" si="0"/>
        <v>0.13541666666666607</v>
      </c>
      <c r="E10" s="5">
        <f t="shared" si="1"/>
        <v>3.2499999999999858</v>
      </c>
      <c r="F10" s="5">
        <f t="shared" si="2"/>
        <v>0.24999999999998579</v>
      </c>
      <c r="G10" s="5">
        <f t="shared" si="3"/>
        <v>0</v>
      </c>
      <c r="H10" s="5">
        <f t="shared" si="4"/>
        <v>873.88888888888505</v>
      </c>
    </row>
    <row r="11" spans="1:8" x14ac:dyDescent="0.25">
      <c r="A11" s="5">
        <v>4</v>
      </c>
      <c r="B11" s="3">
        <v>0.7</v>
      </c>
      <c r="C11" s="3">
        <v>0.84375</v>
      </c>
      <c r="D11" s="4">
        <f t="shared" si="0"/>
        <v>0.14375000000000004</v>
      </c>
      <c r="E11" s="5">
        <f t="shared" si="1"/>
        <v>3.4500000000000011</v>
      </c>
      <c r="F11" s="5">
        <f t="shared" si="2"/>
        <v>0.45000000000000107</v>
      </c>
      <c r="G11" s="5">
        <f t="shared" si="3"/>
        <v>0</v>
      </c>
      <c r="H11" s="5">
        <f t="shared" si="4"/>
        <v>927.66666666666686</v>
      </c>
    </row>
    <row r="12" spans="1:8" x14ac:dyDescent="0.25">
      <c r="A12" s="5">
        <v>5</v>
      </c>
      <c r="B12" s="3">
        <v>0.70833333333333304</v>
      </c>
      <c r="C12" s="3">
        <v>0.83333333333333304</v>
      </c>
      <c r="D12" s="4">
        <f t="shared" si="0"/>
        <v>0.125</v>
      </c>
      <c r="E12" s="5">
        <f t="shared" si="1"/>
        <v>3</v>
      </c>
      <c r="F12" s="5">
        <f t="shared" si="2"/>
        <v>0</v>
      </c>
      <c r="G12" s="5">
        <f t="shared" si="3"/>
        <v>0</v>
      </c>
      <c r="H12" s="5">
        <f t="shared" si="4"/>
        <v>806.66666666666663</v>
      </c>
    </row>
    <row r="13" spans="1:8" x14ac:dyDescent="0.25">
      <c r="A13" s="5">
        <v>6</v>
      </c>
      <c r="B13" s="3">
        <v>0.70138888888888884</v>
      </c>
      <c r="C13" s="3">
        <v>0.84027777777777801</v>
      </c>
      <c r="D13" s="4">
        <f t="shared" si="0"/>
        <v>0.13888888888888917</v>
      </c>
      <c r="E13" s="5">
        <f t="shared" si="1"/>
        <v>3.3333333333333401</v>
      </c>
      <c r="F13" s="5">
        <f t="shared" si="2"/>
        <v>0.33333333333334014</v>
      </c>
      <c r="G13" s="5">
        <f t="shared" si="3"/>
        <v>0</v>
      </c>
      <c r="H13" s="5">
        <f t="shared" si="4"/>
        <v>896.29629629629812</v>
      </c>
    </row>
    <row r="14" spans="1:8" x14ac:dyDescent="0.25">
      <c r="A14" s="5">
        <v>7</v>
      </c>
      <c r="B14" s="3">
        <v>0.70625000000000004</v>
      </c>
      <c r="C14" s="3">
        <v>0.82569444444444395</v>
      </c>
      <c r="D14" s="4">
        <f t="shared" si="0"/>
        <v>0.11944444444444391</v>
      </c>
      <c r="E14" s="5">
        <f t="shared" si="1"/>
        <v>2.8666666666666538</v>
      </c>
      <c r="F14" s="5">
        <f t="shared" si="2"/>
        <v>0</v>
      </c>
      <c r="G14" s="5">
        <f t="shared" si="3"/>
        <v>0.13333333333334618</v>
      </c>
      <c r="H14" s="5">
        <f t="shared" si="4"/>
        <v>770.81481481481137</v>
      </c>
    </row>
    <row r="15" spans="1:8" x14ac:dyDescent="0.25">
      <c r="A15" s="2" t="s">
        <v>23</v>
      </c>
      <c r="B15" s="3">
        <v>0.70833333333333304</v>
      </c>
      <c r="C15" s="3">
        <v>0.83333333333333304</v>
      </c>
      <c r="D15" s="4">
        <f t="shared" si="0"/>
        <v>0.125</v>
      </c>
      <c r="E15" s="5">
        <f t="shared" si="1"/>
        <v>3</v>
      </c>
      <c r="F15" s="5">
        <f t="shared" si="2"/>
        <v>0</v>
      </c>
      <c r="G15" s="5">
        <f t="shared" si="3"/>
        <v>0</v>
      </c>
      <c r="H15" s="5">
        <f t="shared" si="4"/>
        <v>806.66666666666663</v>
      </c>
    </row>
    <row r="16" spans="1:8" x14ac:dyDescent="0.25">
      <c r="A16" s="5">
        <v>9</v>
      </c>
      <c r="B16" s="3">
        <v>0.70763888888888904</v>
      </c>
      <c r="C16" s="3">
        <v>0.83958333333333302</v>
      </c>
      <c r="D16" s="4">
        <f t="shared" si="0"/>
        <v>0.13194444444444398</v>
      </c>
      <c r="E16" s="5">
        <f t="shared" si="1"/>
        <v>3.1666666666666554</v>
      </c>
      <c r="F16" s="5">
        <f t="shared" si="2"/>
        <v>0.16666666666665542</v>
      </c>
      <c r="G16" s="5">
        <f t="shared" si="3"/>
        <v>0</v>
      </c>
      <c r="H16" s="5">
        <f t="shared" si="4"/>
        <v>851.48148148147845</v>
      </c>
    </row>
    <row r="17" spans="1:8" x14ac:dyDescent="0.25">
      <c r="A17" s="5">
        <v>10</v>
      </c>
      <c r="B17" s="3">
        <v>0.71666666666666701</v>
      </c>
      <c r="C17" s="3">
        <v>0.84583333333333299</v>
      </c>
      <c r="D17" s="4">
        <f t="shared" si="0"/>
        <v>0.12916666666666599</v>
      </c>
      <c r="E17" s="5">
        <f t="shared" si="1"/>
        <v>3.0999999999999837</v>
      </c>
      <c r="F17" s="5">
        <f t="shared" si="2"/>
        <v>9.9999999999983658E-2</v>
      </c>
      <c r="G17" s="5">
        <f t="shared" si="3"/>
        <v>0</v>
      </c>
      <c r="H17" s="5">
        <f t="shared" si="4"/>
        <v>833.55555555555111</v>
      </c>
    </row>
    <row r="18" spans="1:8" x14ac:dyDescent="0.25">
      <c r="A18" s="5">
        <v>11</v>
      </c>
      <c r="B18" s="3">
        <v>0.71111111111111103</v>
      </c>
      <c r="C18" s="3">
        <v>0.87083333333333302</v>
      </c>
      <c r="D18" s="4">
        <f t="shared" si="0"/>
        <v>0.15972222222222199</v>
      </c>
      <c r="E18" s="5">
        <f t="shared" si="1"/>
        <v>3.8333333333333277</v>
      </c>
      <c r="F18" s="5">
        <f t="shared" si="2"/>
        <v>0.83333333333332771</v>
      </c>
      <c r="G18" s="5">
        <f t="shared" si="3"/>
        <v>0</v>
      </c>
      <c r="H18" s="5">
        <f t="shared" si="4"/>
        <v>1030.7407407407393</v>
      </c>
    </row>
    <row r="19" spans="1:8" x14ac:dyDescent="0.25">
      <c r="A19" s="5">
        <v>12</v>
      </c>
      <c r="B19" s="3">
        <v>0.70763888888888904</v>
      </c>
      <c r="C19" s="3">
        <v>0.84166666666666701</v>
      </c>
      <c r="D19" s="4">
        <f t="shared" si="0"/>
        <v>0.13402777777777797</v>
      </c>
      <c r="E19" s="5">
        <f t="shared" si="1"/>
        <v>3.2166666666666712</v>
      </c>
      <c r="F19" s="5">
        <f t="shared" si="2"/>
        <v>0.21666666666667123</v>
      </c>
      <c r="G19" s="5">
        <f t="shared" si="3"/>
        <v>0</v>
      </c>
      <c r="H19" s="5">
        <f t="shared" si="4"/>
        <v>864.92592592592712</v>
      </c>
    </row>
    <row r="20" spans="1:8" x14ac:dyDescent="0.25">
      <c r="A20" s="5">
        <v>13</v>
      </c>
      <c r="B20" s="3">
        <v>0.70763888888888904</v>
      </c>
      <c r="C20" s="3">
        <v>0.84583333333333299</v>
      </c>
      <c r="D20" s="4">
        <f t="shared" si="0"/>
        <v>0.13819444444444395</v>
      </c>
      <c r="E20" s="5">
        <f t="shared" si="1"/>
        <v>3.3166666666666549</v>
      </c>
      <c r="F20" s="5">
        <f t="shared" si="2"/>
        <v>0.31666666666665488</v>
      </c>
      <c r="G20" s="5">
        <f t="shared" si="3"/>
        <v>0</v>
      </c>
      <c r="H20" s="5">
        <f t="shared" si="4"/>
        <v>891.8148148148116</v>
      </c>
    </row>
    <row r="21" spans="1:8" x14ac:dyDescent="0.25">
      <c r="A21" s="5">
        <v>14</v>
      </c>
      <c r="B21" s="3">
        <v>0.69444444444444398</v>
      </c>
      <c r="C21" s="3">
        <v>0.84722222222222199</v>
      </c>
      <c r="D21" s="4">
        <f t="shared" si="0"/>
        <v>0.15277777777777801</v>
      </c>
      <c r="E21" s="5">
        <f t="shared" si="1"/>
        <v>3.6666666666666723</v>
      </c>
      <c r="F21" s="5">
        <f t="shared" si="2"/>
        <v>0.66666666666667229</v>
      </c>
      <c r="G21" s="5">
        <f t="shared" si="3"/>
        <v>0</v>
      </c>
      <c r="H21" s="5">
        <f t="shared" si="4"/>
        <v>985.92592592592734</v>
      </c>
    </row>
    <row r="22" spans="1:8" x14ac:dyDescent="0.25">
      <c r="A22" s="2" t="s">
        <v>33</v>
      </c>
      <c r="B22" s="3">
        <v>0.70833333333333304</v>
      </c>
      <c r="C22" s="3">
        <v>0.83333333333333304</v>
      </c>
      <c r="D22" s="4">
        <f t="shared" si="0"/>
        <v>0.125</v>
      </c>
      <c r="E22" s="5">
        <f t="shared" si="1"/>
        <v>3</v>
      </c>
      <c r="F22" s="5">
        <f t="shared" si="2"/>
        <v>0</v>
      </c>
      <c r="G22" s="5">
        <f t="shared" si="3"/>
        <v>0</v>
      </c>
      <c r="H22" s="5">
        <f t="shared" si="4"/>
        <v>806.66666666666663</v>
      </c>
    </row>
    <row r="23" spans="1:8" x14ac:dyDescent="0.25">
      <c r="A23" s="5">
        <v>16</v>
      </c>
      <c r="B23" s="3">
        <v>0.72638888888888897</v>
      </c>
      <c r="C23" s="3">
        <v>0.85763888888888895</v>
      </c>
      <c r="D23" s="4">
        <f t="shared" si="0"/>
        <v>0.13124999999999998</v>
      </c>
      <c r="E23" s="5">
        <f t="shared" si="1"/>
        <v>3.1499999999999995</v>
      </c>
      <c r="F23" s="5">
        <f t="shared" si="2"/>
        <v>0.14999999999999947</v>
      </c>
      <c r="G23" s="5">
        <f t="shared" si="3"/>
        <v>0</v>
      </c>
      <c r="H23" s="5">
        <f t="shared" si="4"/>
        <v>846.99999999999977</v>
      </c>
    </row>
    <row r="24" spans="1:8" x14ac:dyDescent="0.25">
      <c r="A24" s="5" t="s">
        <v>36</v>
      </c>
      <c r="B24" s="3">
        <v>0.70833333333333337</v>
      </c>
      <c r="C24" s="3">
        <v>0.83333333333333337</v>
      </c>
      <c r="D24" s="4">
        <f t="shared" si="0"/>
        <v>0.125</v>
      </c>
      <c r="E24" s="5">
        <f t="shared" si="1"/>
        <v>3</v>
      </c>
      <c r="F24" s="5">
        <f t="shared" si="2"/>
        <v>0</v>
      </c>
      <c r="G24" s="5">
        <f t="shared" si="3"/>
        <v>0</v>
      </c>
      <c r="H24" s="5">
        <f t="shared" si="4"/>
        <v>806.66666666666663</v>
      </c>
    </row>
    <row r="25" spans="1:8" x14ac:dyDescent="0.25">
      <c r="A25" s="5">
        <v>18</v>
      </c>
      <c r="B25" s="3">
        <v>0.70972222222222203</v>
      </c>
      <c r="C25" s="3">
        <v>0.85069444444444398</v>
      </c>
      <c r="D25" s="4">
        <f t="shared" si="0"/>
        <v>0.14097222222222194</v>
      </c>
      <c r="E25" s="5">
        <f t="shared" si="1"/>
        <v>3.3833333333333266</v>
      </c>
      <c r="F25" s="5">
        <f t="shared" si="2"/>
        <v>0.38333333333332664</v>
      </c>
      <c r="G25" s="5">
        <f t="shared" si="3"/>
        <v>0</v>
      </c>
      <c r="H25" s="5">
        <f t="shared" si="4"/>
        <v>909.74074074073894</v>
      </c>
    </row>
    <row r="26" spans="1:8" x14ac:dyDescent="0.25">
      <c r="A26" s="5">
        <v>19</v>
      </c>
      <c r="B26" s="3">
        <v>0.71736111111111101</v>
      </c>
      <c r="C26" s="3">
        <v>0.84166666666666701</v>
      </c>
      <c r="D26" s="4">
        <f t="shared" si="0"/>
        <v>0.124305555555556</v>
      </c>
      <c r="E26" s="5">
        <f t="shared" si="1"/>
        <v>2.9833333333333441</v>
      </c>
      <c r="F26" s="5">
        <f t="shared" si="2"/>
        <v>0</v>
      </c>
      <c r="G26" s="5">
        <f t="shared" si="3"/>
        <v>1.6666666666655949E-2</v>
      </c>
      <c r="H26" s="5">
        <f t="shared" si="4"/>
        <v>802.18518518518806</v>
      </c>
    </row>
    <row r="27" spans="1:8" x14ac:dyDescent="0.25">
      <c r="A27" s="5">
        <v>20</v>
      </c>
      <c r="B27" s="3">
        <v>0.624305555555556</v>
      </c>
      <c r="C27" s="3">
        <v>0.76249999999999996</v>
      </c>
      <c r="D27" s="4">
        <f t="shared" si="0"/>
        <v>0.13819444444444395</v>
      </c>
      <c r="E27" s="5">
        <f t="shared" si="1"/>
        <v>3.3166666666666549</v>
      </c>
      <c r="F27" s="5">
        <f t="shared" si="2"/>
        <v>0.31666666666665488</v>
      </c>
      <c r="G27" s="5">
        <f t="shared" si="3"/>
        <v>0</v>
      </c>
      <c r="H27" s="5">
        <f t="shared" si="4"/>
        <v>891.8148148148116</v>
      </c>
    </row>
    <row r="28" spans="1:8" x14ac:dyDescent="0.25">
      <c r="A28" s="5">
        <v>21</v>
      </c>
      <c r="B28" s="3">
        <v>0.62638888888888899</v>
      </c>
      <c r="C28" s="3">
        <v>0.77569444444444402</v>
      </c>
      <c r="D28" s="4">
        <f t="shared" si="0"/>
        <v>0.14930555555555503</v>
      </c>
      <c r="E28" s="5">
        <f t="shared" si="1"/>
        <v>3.5833333333333206</v>
      </c>
      <c r="F28" s="5">
        <f t="shared" si="2"/>
        <v>0.5833333333333206</v>
      </c>
      <c r="G28" s="5">
        <f t="shared" si="3"/>
        <v>0</v>
      </c>
      <c r="H28" s="5">
        <f t="shared" si="4"/>
        <v>963.51851851851507</v>
      </c>
    </row>
    <row r="29" spans="1:8" x14ac:dyDescent="0.25">
      <c r="A29" s="2" t="s">
        <v>24</v>
      </c>
      <c r="B29" s="3">
        <v>0.70833333333333304</v>
      </c>
      <c r="C29" s="3">
        <v>0.83333333333333304</v>
      </c>
      <c r="D29" s="4">
        <f t="shared" si="0"/>
        <v>0.125</v>
      </c>
      <c r="E29" s="5">
        <f t="shared" si="1"/>
        <v>3</v>
      </c>
      <c r="F29" s="5">
        <f t="shared" si="2"/>
        <v>0</v>
      </c>
      <c r="G29" s="5">
        <f t="shared" si="3"/>
        <v>0</v>
      </c>
      <c r="H29" s="5">
        <f t="shared" si="4"/>
        <v>806.66666666666663</v>
      </c>
    </row>
    <row r="30" spans="1:8" x14ac:dyDescent="0.25">
      <c r="A30" s="5">
        <v>23</v>
      </c>
      <c r="B30" s="3">
        <v>0.70416666666666705</v>
      </c>
      <c r="C30" s="3">
        <v>0.83611111111111103</v>
      </c>
      <c r="D30" s="4">
        <f t="shared" si="0"/>
        <v>0.13194444444444398</v>
      </c>
      <c r="E30" s="5">
        <f t="shared" si="1"/>
        <v>3.1666666666666554</v>
      </c>
      <c r="F30" s="5">
        <f t="shared" si="2"/>
        <v>0.16666666666665542</v>
      </c>
      <c r="G30" s="5">
        <f t="shared" si="3"/>
        <v>0</v>
      </c>
      <c r="H30" s="5">
        <f t="shared" si="4"/>
        <v>851.48148148147845</v>
      </c>
    </row>
    <row r="31" spans="1:8" x14ac:dyDescent="0.25">
      <c r="A31" s="5">
        <v>24</v>
      </c>
      <c r="B31" s="3">
        <v>0.70763888888888904</v>
      </c>
      <c r="C31" s="3">
        <v>0.83541666666666703</v>
      </c>
      <c r="D31" s="4">
        <f t="shared" si="0"/>
        <v>0.12777777777777799</v>
      </c>
      <c r="E31" s="5">
        <f t="shared" si="1"/>
        <v>3.0666666666666718</v>
      </c>
      <c r="F31" s="5">
        <f t="shared" si="2"/>
        <v>6.6666666666671759E-2</v>
      </c>
      <c r="G31" s="5">
        <f t="shared" si="3"/>
        <v>0</v>
      </c>
      <c r="H31" s="5">
        <f t="shared" si="4"/>
        <v>824.59259259259397</v>
      </c>
    </row>
    <row r="32" spans="1:8" x14ac:dyDescent="0.25">
      <c r="A32" s="5">
        <v>25</v>
      </c>
      <c r="B32" s="3">
        <v>0.70625000000000004</v>
      </c>
      <c r="C32" s="3">
        <v>0.83888888888888902</v>
      </c>
      <c r="D32" s="4">
        <f t="shared" si="0"/>
        <v>0.13263888888888897</v>
      </c>
      <c r="E32" s="5">
        <f t="shared" si="1"/>
        <v>3.1833333333333353</v>
      </c>
      <c r="F32" s="5">
        <f t="shared" si="2"/>
        <v>0.18333333333333535</v>
      </c>
      <c r="G32" s="5">
        <f t="shared" si="3"/>
        <v>0</v>
      </c>
      <c r="H32" s="5">
        <f t="shared" si="4"/>
        <v>855.9629629629635</v>
      </c>
    </row>
    <row r="33" spans="1:8" x14ac:dyDescent="0.25">
      <c r="A33" s="5">
        <v>26</v>
      </c>
      <c r="B33" s="3">
        <v>0.70347222222222205</v>
      </c>
      <c r="C33" s="3">
        <v>0.83611111111111103</v>
      </c>
      <c r="D33" s="4">
        <f t="shared" si="0"/>
        <v>0.13263888888888897</v>
      </c>
      <c r="E33" s="5">
        <f t="shared" si="1"/>
        <v>3.1833333333333353</v>
      </c>
      <c r="F33" s="5">
        <f t="shared" si="2"/>
        <v>0.18333333333333535</v>
      </c>
      <c r="G33" s="5">
        <f t="shared" si="3"/>
        <v>0</v>
      </c>
      <c r="H33" s="5">
        <f t="shared" si="4"/>
        <v>855.9629629629635</v>
      </c>
    </row>
    <row r="34" spans="1:8" x14ac:dyDescent="0.25">
      <c r="A34" s="5">
        <v>27</v>
      </c>
      <c r="B34" s="3">
        <v>0.70555555555555605</v>
      </c>
      <c r="C34" s="3">
        <v>0.83333333333333304</v>
      </c>
      <c r="D34" s="4">
        <f t="shared" si="0"/>
        <v>0.12777777777777699</v>
      </c>
      <c r="E34" s="5">
        <f t="shared" si="1"/>
        <v>3.0666666666666478</v>
      </c>
      <c r="F34" s="5">
        <f t="shared" si="2"/>
        <v>6.6666666666647778E-2</v>
      </c>
      <c r="G34" s="5">
        <f t="shared" si="3"/>
        <v>0</v>
      </c>
      <c r="H34" s="5">
        <f t="shared" si="4"/>
        <v>824.59259259258749</v>
      </c>
    </row>
    <row r="35" spans="1:8" x14ac:dyDescent="0.25">
      <c r="A35" s="5">
        <v>28</v>
      </c>
      <c r="B35" s="3">
        <v>0.71111111111111103</v>
      </c>
      <c r="C35" s="3">
        <v>0.83541666666666703</v>
      </c>
      <c r="D35" s="4">
        <f t="shared" si="0"/>
        <v>0.124305555555556</v>
      </c>
      <c r="E35" s="5">
        <f t="shared" si="1"/>
        <v>2.9833333333333441</v>
      </c>
      <c r="F35" s="5">
        <f t="shared" si="2"/>
        <v>0</v>
      </c>
      <c r="G35" s="5">
        <f t="shared" si="3"/>
        <v>1.6666666666655949E-2</v>
      </c>
      <c r="H35" s="5">
        <f t="shared" si="4"/>
        <v>802.18518518518806</v>
      </c>
    </row>
    <row r="36" spans="1:8" x14ac:dyDescent="0.25">
      <c r="A36" s="5">
        <v>29</v>
      </c>
      <c r="B36" s="3">
        <v>0.70833333333333304</v>
      </c>
      <c r="C36" s="3">
        <v>0.83333333333333304</v>
      </c>
      <c r="D36" s="4">
        <f t="shared" ref="D36" si="5">IF(C36&lt;B36,C36+1,C36)-B36</f>
        <v>0.125</v>
      </c>
      <c r="E36" s="5">
        <f t="shared" si="1"/>
        <v>3</v>
      </c>
      <c r="F36" s="5">
        <f t="shared" si="2"/>
        <v>0</v>
      </c>
      <c r="G36" s="5">
        <f t="shared" ref="G36" si="6">IF(E36&lt;$B$3,$B$3-E36,0)</f>
        <v>0</v>
      </c>
      <c r="H36" s="5">
        <f t="shared" ref="H36" si="7">$B$5*(E36/$B$3)</f>
        <v>806.66666666666663</v>
      </c>
    </row>
    <row r="37" spans="1:8" x14ac:dyDescent="0.25">
      <c r="A37" s="5">
        <v>30</v>
      </c>
      <c r="B37" s="3">
        <v>0.70833333333333304</v>
      </c>
      <c r="C37" s="3">
        <v>0.83333333333333304</v>
      </c>
      <c r="D37" s="4">
        <f t="shared" ref="D37" si="8">IF(C37&lt;B37,C37+1,C37)-B37</f>
        <v>0.125</v>
      </c>
      <c r="E37" s="5">
        <f t="shared" si="1"/>
        <v>3</v>
      </c>
      <c r="F37" s="5">
        <f t="shared" si="2"/>
        <v>0</v>
      </c>
      <c r="G37" s="5">
        <f t="shared" ref="G37" si="9">IF(E37&lt;$B$3,$B$3-E37,0)</f>
        <v>0</v>
      </c>
      <c r="H37" s="5">
        <f t="shared" ref="H37" si="10">$B$5*(E37/$B$3)</f>
        <v>806.66666666666663</v>
      </c>
    </row>
    <row r="38" spans="1:8" x14ac:dyDescent="0.25">
      <c r="A38" s="1" t="s">
        <v>14</v>
      </c>
      <c r="E38" s="5">
        <f>SUM(E8:E35)</f>
        <v>89.599999999999909</v>
      </c>
      <c r="F38" s="5">
        <f>SUM(F8:F35)</f>
        <v>5.7666666666665769</v>
      </c>
      <c r="H38" s="5">
        <f>SUM(H8:H37)</f>
        <v>25705.777777777759</v>
      </c>
    </row>
    <row r="40" spans="1:8" s="7" customFormat="1" x14ac:dyDescent="0.25">
      <c r="A40" s="8" t="s">
        <v>20</v>
      </c>
      <c r="H40" s="7">
        <f>SUM(H8:H37)-200</f>
        <v>25505.777777777759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zoomScale="95" zoomScaleNormal="95" workbookViewId="0">
      <selection activeCell="K22" sqref="K22"/>
    </sheetView>
  </sheetViews>
  <sheetFormatPr defaultColWidth="8.7109375" defaultRowHeight="15" x14ac:dyDescent="0.25"/>
  <cols>
    <col min="1" max="1" width="20.5703125" style="5" customWidth="1"/>
    <col min="2" max="2" width="12.5703125" style="5" bestFit="1" customWidth="1"/>
    <col min="3" max="3" width="11.85546875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9" width="12.140625" style="5" customWidth="1"/>
    <col min="10" max="16384" width="8.7109375" style="5"/>
  </cols>
  <sheetData>
    <row r="1" spans="1:8" x14ac:dyDescent="0.25">
      <c r="A1" s="12" t="s">
        <v>0</v>
      </c>
      <c r="B1" s="9" t="s">
        <v>26</v>
      </c>
    </row>
    <row r="2" spans="1:8" x14ac:dyDescent="0.25">
      <c r="A2" s="12" t="s">
        <v>2</v>
      </c>
      <c r="B2" s="5">
        <v>28000</v>
      </c>
    </row>
    <row r="3" spans="1:8" x14ac:dyDescent="0.25">
      <c r="A3" s="12" t="s">
        <v>3</v>
      </c>
      <c r="B3" s="5">
        <v>8</v>
      </c>
    </row>
    <row r="4" spans="1:8" ht="29.25" x14ac:dyDescent="0.25">
      <c r="A4" s="13" t="s">
        <v>4</v>
      </c>
      <c r="B4" s="5">
        <v>30</v>
      </c>
    </row>
    <row r="5" spans="1:8" x14ac:dyDescent="0.25">
      <c r="A5" s="12" t="s">
        <v>5</v>
      </c>
      <c r="B5" s="5">
        <f>B2/B4</f>
        <v>933.33333333333337</v>
      </c>
    </row>
    <row r="7" spans="1:8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8" x14ac:dyDescent="0.25">
      <c r="A8" s="2" t="s">
        <v>27</v>
      </c>
      <c r="B8" s="3">
        <v>0.41666666666666702</v>
      </c>
      <c r="C8" s="3">
        <v>0.75</v>
      </c>
      <c r="D8" s="4">
        <f t="shared" ref="D8:D35" si="0">IF(C8&lt;B8,C8+1,C8)-B8</f>
        <v>0.33333333333333298</v>
      </c>
      <c r="E8" s="5">
        <f t="shared" ref="E8:E37" si="1">D8*24</f>
        <v>7.9999999999999911</v>
      </c>
      <c r="F8" s="5">
        <f t="shared" ref="F8:F37" si="2">IF(E8&gt;$B$3,E8-$B$3,0)</f>
        <v>0</v>
      </c>
      <c r="G8" s="5">
        <f t="shared" ref="G8:G35" si="3">IF(E8&lt;$B$3,$B$3-E8,0)</f>
        <v>8.8817841970012523E-15</v>
      </c>
      <c r="H8" s="5">
        <f t="shared" ref="H8:H35" si="4">$B$5*(E8/$B$3)</f>
        <v>933.33333333333235</v>
      </c>
    </row>
    <row r="9" spans="1:8" x14ac:dyDescent="0.25">
      <c r="A9" s="5">
        <v>2</v>
      </c>
      <c r="B9" s="3">
        <v>0.45833333333333298</v>
      </c>
      <c r="C9" s="3">
        <v>0.71875</v>
      </c>
      <c r="D9" s="4">
        <f t="shared" si="0"/>
        <v>0.26041666666666702</v>
      </c>
      <c r="E9" s="5">
        <f t="shared" si="1"/>
        <v>6.2500000000000089</v>
      </c>
      <c r="F9" s="5">
        <f t="shared" si="2"/>
        <v>0</v>
      </c>
      <c r="G9" s="5">
        <f t="shared" si="3"/>
        <v>1.7499999999999911</v>
      </c>
      <c r="H9" s="5">
        <f t="shared" si="4"/>
        <v>729.16666666666777</v>
      </c>
    </row>
    <row r="10" spans="1:8" x14ac:dyDescent="0.25">
      <c r="A10" s="5">
        <v>3</v>
      </c>
      <c r="B10" s="3">
        <v>0.43263888888888902</v>
      </c>
      <c r="C10" s="3">
        <v>0.75</v>
      </c>
      <c r="D10" s="4">
        <f t="shared" si="0"/>
        <v>0.31736111111111098</v>
      </c>
      <c r="E10" s="5">
        <f t="shared" si="1"/>
        <v>7.6166666666666636</v>
      </c>
      <c r="F10" s="5">
        <f t="shared" si="2"/>
        <v>0</v>
      </c>
      <c r="G10" s="5">
        <f t="shared" si="3"/>
        <v>0.38333333333333641</v>
      </c>
      <c r="H10" s="5">
        <f t="shared" si="4"/>
        <v>888.61111111111074</v>
      </c>
    </row>
    <row r="11" spans="1:8" x14ac:dyDescent="0.25">
      <c r="A11" s="5">
        <v>4</v>
      </c>
      <c r="B11" s="3">
        <v>0.42638888888888898</v>
      </c>
      <c r="C11" s="3">
        <v>0.75277777777777799</v>
      </c>
      <c r="D11" s="4">
        <f t="shared" si="0"/>
        <v>0.32638888888888901</v>
      </c>
      <c r="E11" s="5">
        <f t="shared" si="1"/>
        <v>7.8333333333333357</v>
      </c>
      <c r="F11" s="5">
        <f t="shared" si="2"/>
        <v>0</v>
      </c>
      <c r="G11" s="5">
        <f t="shared" si="3"/>
        <v>0.1666666666666643</v>
      </c>
      <c r="H11" s="5">
        <f t="shared" si="4"/>
        <v>913.88888888888926</v>
      </c>
    </row>
    <row r="12" spans="1:8" x14ac:dyDescent="0.25">
      <c r="A12" s="5">
        <v>5</v>
      </c>
      <c r="B12" s="3">
        <v>0.45833333333333298</v>
      </c>
      <c r="C12" s="3">
        <v>0.71527777777777801</v>
      </c>
      <c r="D12" s="4">
        <f t="shared" si="0"/>
        <v>0.25694444444444503</v>
      </c>
      <c r="E12" s="5">
        <f t="shared" si="1"/>
        <v>6.1666666666666803</v>
      </c>
      <c r="F12" s="5">
        <f t="shared" si="2"/>
        <v>0</v>
      </c>
      <c r="G12" s="5">
        <f t="shared" si="3"/>
        <v>1.8333333333333197</v>
      </c>
      <c r="H12" s="5">
        <f t="shared" si="4"/>
        <v>719.44444444444605</v>
      </c>
    </row>
    <row r="13" spans="1:8" x14ac:dyDescent="0.25">
      <c r="A13" s="5">
        <v>6</v>
      </c>
      <c r="B13" s="3">
        <v>0.43263888888888902</v>
      </c>
      <c r="C13" s="3">
        <v>0.76527777777777795</v>
      </c>
      <c r="D13" s="4">
        <f t="shared" si="0"/>
        <v>0.33263888888888893</v>
      </c>
      <c r="E13" s="5">
        <f t="shared" si="1"/>
        <v>7.9833333333333343</v>
      </c>
      <c r="F13" s="5">
        <f t="shared" si="2"/>
        <v>0</v>
      </c>
      <c r="G13" s="5">
        <f t="shared" si="3"/>
        <v>1.6666666666665719E-2</v>
      </c>
      <c r="H13" s="5">
        <f t="shared" si="4"/>
        <v>931.38888888888903</v>
      </c>
    </row>
    <row r="14" spans="1:8" x14ac:dyDescent="0.25">
      <c r="A14" s="2">
        <v>7</v>
      </c>
      <c r="B14" s="3">
        <v>0.422916666666667</v>
      </c>
      <c r="C14" s="3">
        <v>0.76388888888888895</v>
      </c>
      <c r="D14" s="4">
        <f t="shared" si="0"/>
        <v>0.34097222222222195</v>
      </c>
      <c r="E14" s="5">
        <f t="shared" si="1"/>
        <v>8.1833333333333265</v>
      </c>
      <c r="F14" s="5">
        <f t="shared" si="2"/>
        <v>0.18333333333332646</v>
      </c>
      <c r="G14" s="5">
        <f t="shared" si="3"/>
        <v>0</v>
      </c>
      <c r="H14" s="5">
        <f t="shared" si="4"/>
        <v>954.72222222222149</v>
      </c>
    </row>
    <row r="15" spans="1:8" x14ac:dyDescent="0.25">
      <c r="A15" s="2" t="s">
        <v>23</v>
      </c>
      <c r="B15" s="3">
        <v>0.41666666666666702</v>
      </c>
      <c r="C15" s="3">
        <v>0.75</v>
      </c>
      <c r="D15" s="4">
        <f t="shared" si="0"/>
        <v>0.33333333333333298</v>
      </c>
      <c r="E15" s="5">
        <f t="shared" si="1"/>
        <v>7.9999999999999911</v>
      </c>
      <c r="F15" s="5">
        <f t="shared" si="2"/>
        <v>0</v>
      </c>
      <c r="G15" s="5">
        <f t="shared" si="3"/>
        <v>8.8817841970012523E-15</v>
      </c>
      <c r="H15" s="5">
        <f t="shared" si="4"/>
        <v>933.33333333333235</v>
      </c>
    </row>
    <row r="16" spans="1:8" x14ac:dyDescent="0.25">
      <c r="A16" s="5">
        <v>9</v>
      </c>
      <c r="B16" s="3">
        <v>0.50902777777777797</v>
      </c>
      <c r="C16" s="3">
        <v>0.71736111111111101</v>
      </c>
      <c r="D16" s="4">
        <f t="shared" si="0"/>
        <v>0.20833333333333304</v>
      </c>
      <c r="E16" s="5">
        <f t="shared" si="1"/>
        <v>4.9999999999999929</v>
      </c>
      <c r="F16" s="5">
        <f t="shared" si="2"/>
        <v>0</v>
      </c>
      <c r="G16" s="5">
        <f t="shared" si="3"/>
        <v>3.0000000000000071</v>
      </c>
      <c r="H16" s="5">
        <f t="shared" si="4"/>
        <v>583.33333333333258</v>
      </c>
    </row>
    <row r="17" spans="1:8" x14ac:dyDescent="0.25">
      <c r="A17" s="5">
        <v>10</v>
      </c>
      <c r="B17" s="3">
        <v>0.42916666666666697</v>
      </c>
      <c r="C17" s="3">
        <v>0.77291666666666703</v>
      </c>
      <c r="D17" s="4">
        <f t="shared" si="0"/>
        <v>0.34375000000000006</v>
      </c>
      <c r="E17" s="5">
        <f t="shared" si="1"/>
        <v>8.2500000000000018</v>
      </c>
      <c r="F17" s="5">
        <f t="shared" si="2"/>
        <v>0.25000000000000178</v>
      </c>
      <c r="G17" s="5">
        <f t="shared" si="3"/>
        <v>0</v>
      </c>
      <c r="H17" s="5">
        <f t="shared" si="4"/>
        <v>962.50000000000023</v>
      </c>
    </row>
    <row r="18" spans="1:8" x14ac:dyDescent="0.25">
      <c r="A18" s="5">
        <v>11</v>
      </c>
      <c r="B18" s="3">
        <v>0.43194444444444402</v>
      </c>
      <c r="C18" s="3">
        <v>0.76597222222222205</v>
      </c>
      <c r="D18" s="4">
        <f t="shared" si="0"/>
        <v>0.33402777777777803</v>
      </c>
      <c r="E18" s="5">
        <f t="shared" si="1"/>
        <v>8.0166666666666728</v>
      </c>
      <c r="F18" s="5">
        <f t="shared" si="2"/>
        <v>1.6666666666672825E-2</v>
      </c>
      <c r="G18" s="5">
        <f t="shared" si="3"/>
        <v>0</v>
      </c>
      <c r="H18" s="5">
        <f t="shared" si="4"/>
        <v>935.27777777777851</v>
      </c>
    </row>
    <row r="19" spans="1:8" x14ac:dyDescent="0.25">
      <c r="A19" s="5">
        <v>12</v>
      </c>
      <c r="B19" s="3">
        <v>0.45902777777777798</v>
      </c>
      <c r="C19" s="3">
        <v>0.71736111111111101</v>
      </c>
      <c r="D19" s="4">
        <f t="shared" si="0"/>
        <v>0.25833333333333303</v>
      </c>
      <c r="E19" s="5">
        <f t="shared" si="1"/>
        <v>6.1999999999999922</v>
      </c>
      <c r="F19" s="5">
        <f t="shared" si="2"/>
        <v>0</v>
      </c>
      <c r="G19" s="5">
        <f t="shared" si="3"/>
        <v>1.8000000000000078</v>
      </c>
      <c r="H19" s="5">
        <f t="shared" si="4"/>
        <v>723.33333333333246</v>
      </c>
    </row>
    <row r="20" spans="1:8" x14ac:dyDescent="0.25">
      <c r="A20" s="5">
        <v>13</v>
      </c>
      <c r="B20" s="3">
        <v>0.43402777777777801</v>
      </c>
      <c r="C20" s="3">
        <v>0.76249999999999996</v>
      </c>
      <c r="D20" s="4">
        <f t="shared" si="0"/>
        <v>0.32847222222222194</v>
      </c>
      <c r="E20" s="5">
        <f t="shared" si="1"/>
        <v>7.8833333333333266</v>
      </c>
      <c r="F20" s="5">
        <f t="shared" si="2"/>
        <v>0</v>
      </c>
      <c r="G20" s="5">
        <f t="shared" si="3"/>
        <v>0.11666666666667336</v>
      </c>
      <c r="H20" s="5">
        <f t="shared" si="4"/>
        <v>919.72222222222149</v>
      </c>
    </row>
    <row r="21" spans="1:8" x14ac:dyDescent="0.25">
      <c r="A21" s="5">
        <v>14</v>
      </c>
      <c r="B21" s="3">
        <v>0.42013888888888901</v>
      </c>
      <c r="C21" s="3">
        <v>0.76458333333333295</v>
      </c>
      <c r="D21" s="4">
        <f t="shared" si="0"/>
        <v>0.34444444444444394</v>
      </c>
      <c r="E21" s="5">
        <f t="shared" si="1"/>
        <v>8.2666666666666551</v>
      </c>
      <c r="F21" s="5">
        <f t="shared" si="2"/>
        <v>0.26666666666665506</v>
      </c>
      <c r="G21" s="5">
        <f t="shared" si="3"/>
        <v>0</v>
      </c>
      <c r="H21" s="5">
        <f t="shared" si="4"/>
        <v>964.44444444444309</v>
      </c>
    </row>
    <row r="22" spans="1:8" x14ac:dyDescent="0.25">
      <c r="A22" s="2" t="s">
        <v>28</v>
      </c>
      <c r="B22" s="3">
        <v>0.41666666666666702</v>
      </c>
      <c r="C22" s="3">
        <v>0.75</v>
      </c>
      <c r="D22" s="4">
        <f t="shared" si="0"/>
        <v>0.33333333333333298</v>
      </c>
      <c r="E22" s="5">
        <f t="shared" si="1"/>
        <v>7.9999999999999911</v>
      </c>
      <c r="F22" s="5">
        <f t="shared" si="2"/>
        <v>0</v>
      </c>
      <c r="G22" s="5">
        <f t="shared" si="3"/>
        <v>8.8817841970012523E-15</v>
      </c>
      <c r="H22" s="5">
        <f t="shared" si="4"/>
        <v>933.33333333333235</v>
      </c>
    </row>
    <row r="23" spans="1:8" x14ac:dyDescent="0.25">
      <c r="A23" s="5">
        <v>16</v>
      </c>
      <c r="B23" s="3">
        <v>0.47013888888888899</v>
      </c>
      <c r="C23" s="3">
        <v>0.73194444444444395</v>
      </c>
      <c r="D23" s="4">
        <f t="shared" si="0"/>
        <v>0.26180555555555496</v>
      </c>
      <c r="E23" s="5">
        <f t="shared" si="1"/>
        <v>6.283333333333319</v>
      </c>
      <c r="F23" s="5">
        <f t="shared" si="2"/>
        <v>0</v>
      </c>
      <c r="G23" s="5">
        <f t="shared" si="3"/>
        <v>1.716666666666681</v>
      </c>
      <c r="H23" s="5">
        <f t="shared" si="4"/>
        <v>733.05555555555395</v>
      </c>
    </row>
    <row r="24" spans="1:8" x14ac:dyDescent="0.25">
      <c r="A24" s="5">
        <v>17</v>
      </c>
      <c r="B24" s="3">
        <v>0.45833333333333298</v>
      </c>
      <c r="C24" s="3">
        <v>0.70833333333333304</v>
      </c>
      <c r="D24" s="4">
        <f t="shared" si="0"/>
        <v>0.25000000000000006</v>
      </c>
      <c r="E24" s="5">
        <f t="shared" si="1"/>
        <v>6.0000000000000018</v>
      </c>
      <c r="F24" s="5">
        <f t="shared" si="2"/>
        <v>0</v>
      </c>
      <c r="G24" s="5">
        <f t="shared" si="3"/>
        <v>1.9999999999999982</v>
      </c>
      <c r="H24" s="5">
        <f t="shared" si="4"/>
        <v>700.00000000000023</v>
      </c>
    </row>
    <row r="25" spans="1:8" x14ac:dyDescent="0.25">
      <c r="A25" s="5">
        <v>18</v>
      </c>
      <c r="B25" s="3">
        <v>0.40277777777777801</v>
      </c>
      <c r="C25" s="3">
        <v>0.72361111111111098</v>
      </c>
      <c r="D25" s="4">
        <f t="shared" si="0"/>
        <v>0.32083333333333297</v>
      </c>
      <c r="E25" s="5">
        <f t="shared" si="1"/>
        <v>7.6999999999999913</v>
      </c>
      <c r="F25" s="5">
        <f t="shared" si="2"/>
        <v>0</v>
      </c>
      <c r="G25" s="5">
        <f t="shared" si="3"/>
        <v>0.3000000000000087</v>
      </c>
      <c r="H25" s="5">
        <f t="shared" si="4"/>
        <v>898.33333333333235</v>
      </c>
    </row>
    <row r="26" spans="1:8" x14ac:dyDescent="0.25">
      <c r="A26" s="5">
        <v>19</v>
      </c>
      <c r="B26" s="3">
        <v>0.40416666666666701</v>
      </c>
      <c r="C26" s="3">
        <v>0.68263888888888902</v>
      </c>
      <c r="D26" s="4">
        <f t="shared" si="0"/>
        <v>0.27847222222222201</v>
      </c>
      <c r="E26" s="5">
        <f t="shared" si="1"/>
        <v>6.6833333333333282</v>
      </c>
      <c r="F26" s="5">
        <f t="shared" si="2"/>
        <v>0</v>
      </c>
      <c r="G26" s="5">
        <f t="shared" si="3"/>
        <v>1.3166666666666718</v>
      </c>
      <c r="H26" s="5">
        <f t="shared" si="4"/>
        <v>779.7222222222216</v>
      </c>
    </row>
    <row r="27" spans="1:8" x14ac:dyDescent="0.25">
      <c r="A27" s="5">
        <v>20</v>
      </c>
      <c r="B27" s="3">
        <v>0.39236111111111099</v>
      </c>
      <c r="C27" s="3">
        <v>0.6875</v>
      </c>
      <c r="D27" s="4">
        <f t="shared" si="0"/>
        <v>0.29513888888888901</v>
      </c>
      <c r="E27" s="5">
        <f t="shared" si="1"/>
        <v>7.0833333333333357</v>
      </c>
      <c r="F27" s="5">
        <f t="shared" si="2"/>
        <v>0</v>
      </c>
      <c r="G27" s="5">
        <f t="shared" si="3"/>
        <v>0.9166666666666643</v>
      </c>
      <c r="H27" s="5">
        <f t="shared" si="4"/>
        <v>826.38888888888926</v>
      </c>
    </row>
    <row r="28" spans="1:8" x14ac:dyDescent="0.25">
      <c r="A28" s="5">
        <v>21</v>
      </c>
      <c r="B28" s="3">
        <v>0.39513888888888898</v>
      </c>
      <c r="C28" s="3">
        <v>0.68472222222222201</v>
      </c>
      <c r="D28" s="4">
        <f t="shared" si="0"/>
        <v>0.28958333333333303</v>
      </c>
      <c r="E28" s="5">
        <f t="shared" si="1"/>
        <v>6.9499999999999922</v>
      </c>
      <c r="F28" s="5">
        <f t="shared" si="2"/>
        <v>0</v>
      </c>
      <c r="G28" s="5">
        <f t="shared" si="3"/>
        <v>1.0500000000000078</v>
      </c>
      <c r="H28" s="5">
        <f t="shared" si="4"/>
        <v>810.83333333333246</v>
      </c>
    </row>
    <row r="29" spans="1:8" x14ac:dyDescent="0.25">
      <c r="A29" s="2" t="s">
        <v>24</v>
      </c>
      <c r="B29" s="3">
        <v>0.41666666666666702</v>
      </c>
      <c r="C29" s="3">
        <v>0.75</v>
      </c>
      <c r="D29" s="4">
        <f t="shared" si="0"/>
        <v>0.33333333333333298</v>
      </c>
      <c r="E29" s="5">
        <f t="shared" si="1"/>
        <v>7.9999999999999911</v>
      </c>
      <c r="F29" s="5">
        <f t="shared" si="2"/>
        <v>0</v>
      </c>
      <c r="G29" s="5">
        <f t="shared" si="3"/>
        <v>8.8817841970012523E-15</v>
      </c>
      <c r="H29" s="5">
        <f t="shared" si="4"/>
        <v>933.33333333333235</v>
      </c>
    </row>
    <row r="30" spans="1:8" x14ac:dyDescent="0.25">
      <c r="A30" s="5">
        <v>23</v>
      </c>
      <c r="B30" s="3">
        <v>0.46319444444444402</v>
      </c>
      <c r="C30" s="3">
        <v>0.67569444444444404</v>
      </c>
      <c r="D30" s="4">
        <f t="shared" si="0"/>
        <v>0.21250000000000002</v>
      </c>
      <c r="E30" s="5">
        <f t="shared" si="1"/>
        <v>5.1000000000000005</v>
      </c>
      <c r="F30" s="5">
        <f t="shared" si="2"/>
        <v>0</v>
      </c>
      <c r="G30" s="5">
        <f t="shared" si="3"/>
        <v>2.8999999999999995</v>
      </c>
      <c r="H30" s="5">
        <f t="shared" si="4"/>
        <v>595.00000000000011</v>
      </c>
    </row>
    <row r="31" spans="1:8" x14ac:dyDescent="0.25">
      <c r="A31" s="5">
        <v>24</v>
      </c>
      <c r="B31" s="3">
        <v>0.47430555555555598</v>
      </c>
      <c r="C31" s="3">
        <v>0.67083333333333295</v>
      </c>
      <c r="D31" s="4">
        <f t="shared" si="0"/>
        <v>0.19652777777777697</v>
      </c>
      <c r="E31" s="5">
        <f t="shared" si="1"/>
        <v>4.7166666666666472</v>
      </c>
      <c r="F31" s="5">
        <f t="shared" si="2"/>
        <v>0</v>
      </c>
      <c r="G31" s="5">
        <f t="shared" si="3"/>
        <v>3.2833333333333528</v>
      </c>
      <c r="H31" s="5">
        <f t="shared" si="4"/>
        <v>550.27777777777555</v>
      </c>
    </row>
    <row r="32" spans="1:8" x14ac:dyDescent="0.25">
      <c r="A32" s="5">
        <v>25</v>
      </c>
      <c r="B32" s="3">
        <v>0.47152777777777799</v>
      </c>
      <c r="C32" s="3">
        <v>0.67083333333333295</v>
      </c>
      <c r="D32" s="4">
        <f t="shared" si="0"/>
        <v>0.19930555555555496</v>
      </c>
      <c r="E32" s="5">
        <f t="shared" si="1"/>
        <v>4.783333333333319</v>
      </c>
      <c r="F32" s="5">
        <f t="shared" si="2"/>
        <v>0</v>
      </c>
      <c r="G32" s="5">
        <f t="shared" si="3"/>
        <v>3.216666666666681</v>
      </c>
      <c r="H32" s="5">
        <f t="shared" si="4"/>
        <v>558.05555555555395</v>
      </c>
    </row>
    <row r="33" spans="1:8" x14ac:dyDescent="0.25">
      <c r="A33" s="5">
        <v>26</v>
      </c>
      <c r="B33" s="3">
        <v>0.39444444444444399</v>
      </c>
      <c r="C33" s="3">
        <v>0.64027777777777795</v>
      </c>
      <c r="D33" s="4">
        <f t="shared" si="0"/>
        <v>0.24583333333333396</v>
      </c>
      <c r="E33" s="5">
        <f t="shared" si="1"/>
        <v>5.9000000000000146</v>
      </c>
      <c r="F33" s="5">
        <f t="shared" si="2"/>
        <v>0</v>
      </c>
      <c r="G33" s="5">
        <f t="shared" si="3"/>
        <v>2.0999999999999854</v>
      </c>
      <c r="H33" s="5">
        <f t="shared" si="4"/>
        <v>688.33333333333508</v>
      </c>
    </row>
    <row r="34" spans="1:8" x14ac:dyDescent="0.25">
      <c r="A34" s="5">
        <v>27</v>
      </c>
      <c r="B34" s="3">
        <v>0.46250000000000002</v>
      </c>
      <c r="C34" s="3">
        <v>0.67152777777777795</v>
      </c>
      <c r="D34" s="4">
        <f t="shared" si="0"/>
        <v>0.20902777777777792</v>
      </c>
      <c r="E34" s="5">
        <f t="shared" si="1"/>
        <v>5.0166666666666702</v>
      </c>
      <c r="F34" s="5">
        <f t="shared" si="2"/>
        <v>0</v>
      </c>
      <c r="G34" s="5">
        <f t="shared" si="3"/>
        <v>2.9833333333333298</v>
      </c>
      <c r="H34" s="5">
        <f t="shared" si="4"/>
        <v>585.27777777777817</v>
      </c>
    </row>
    <row r="35" spans="1:8" x14ac:dyDescent="0.25">
      <c r="A35" s="5" t="s">
        <v>35</v>
      </c>
      <c r="B35" s="3">
        <v>0.41666666666666702</v>
      </c>
      <c r="C35" s="3">
        <v>0.75</v>
      </c>
      <c r="D35" s="4">
        <f t="shared" si="0"/>
        <v>0.33333333333333298</v>
      </c>
      <c r="E35" s="5">
        <f t="shared" si="1"/>
        <v>7.9999999999999911</v>
      </c>
      <c r="F35" s="5">
        <f t="shared" si="2"/>
        <v>0</v>
      </c>
      <c r="G35" s="5">
        <f t="shared" si="3"/>
        <v>8.8817841970012523E-15</v>
      </c>
      <c r="H35" s="5">
        <f t="shared" si="4"/>
        <v>933.33333333333235</v>
      </c>
    </row>
    <row r="36" spans="1:8" x14ac:dyDescent="0.25">
      <c r="A36" s="5">
        <v>29</v>
      </c>
      <c r="B36" s="3">
        <v>0.41666666666666702</v>
      </c>
      <c r="C36" s="3">
        <v>0.75</v>
      </c>
      <c r="D36" s="4">
        <f t="shared" ref="D36:D37" si="5">IF(C36&lt;B36,C36+1,C36)-B36</f>
        <v>0.33333333333333298</v>
      </c>
      <c r="E36" s="5">
        <f t="shared" si="1"/>
        <v>7.9999999999999911</v>
      </c>
      <c r="F36" s="5">
        <f t="shared" si="2"/>
        <v>0</v>
      </c>
      <c r="G36" s="5">
        <f t="shared" ref="G36:G37" si="6">IF(E36&lt;$B$3,$B$3-E36,0)</f>
        <v>8.8817841970012523E-15</v>
      </c>
      <c r="H36" s="5">
        <f t="shared" ref="H36:H37" si="7">$B$5*(E36/$B$3)</f>
        <v>933.33333333333235</v>
      </c>
    </row>
    <row r="37" spans="1:8" x14ac:dyDescent="0.25">
      <c r="A37" s="5">
        <v>30</v>
      </c>
      <c r="B37" s="3">
        <v>0.41666666666666702</v>
      </c>
      <c r="C37" s="3">
        <v>0.75</v>
      </c>
      <c r="D37" s="4">
        <f t="shared" si="5"/>
        <v>0.33333333333333298</v>
      </c>
      <c r="E37" s="5">
        <f t="shared" si="1"/>
        <v>7.9999999999999911</v>
      </c>
      <c r="F37" s="5">
        <f t="shared" si="2"/>
        <v>0</v>
      </c>
      <c r="G37" s="5">
        <f t="shared" si="6"/>
        <v>8.8817841970012523E-15</v>
      </c>
      <c r="H37" s="5">
        <f t="shared" si="7"/>
        <v>933.33333333333235</v>
      </c>
    </row>
    <row r="38" spans="1:8" x14ac:dyDescent="0.25">
      <c r="A38" s="1" t="s">
        <v>14</v>
      </c>
      <c r="E38" s="5">
        <f>SUM(E8:E35)</f>
        <v>193.86666666666659</v>
      </c>
      <c r="F38" s="5">
        <f>SUM(F8:F35)</f>
        <v>0.71666666666665613</v>
      </c>
      <c r="H38" s="5">
        <f>SUM(H8:H37)</f>
        <v>24484.444444444431</v>
      </c>
    </row>
    <row r="40" spans="1:8" s="7" customFormat="1" x14ac:dyDescent="0.25">
      <c r="A40" s="8" t="s">
        <v>20</v>
      </c>
      <c r="H40" s="7">
        <f>SUM(H8:H37)-200</f>
        <v>24284.444444444431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29" zoomScale="95" zoomScaleNormal="95" workbookViewId="0">
      <selection activeCell="B45" sqref="B45"/>
    </sheetView>
  </sheetViews>
  <sheetFormatPr defaultColWidth="8.7109375" defaultRowHeight="15" x14ac:dyDescent="0.25"/>
  <cols>
    <col min="1" max="1" width="20.28515625" style="5" customWidth="1"/>
    <col min="2" max="2" width="19.7109375" style="5" bestFit="1" customWidth="1"/>
    <col min="3" max="3" width="11.85546875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9" width="11.85546875" style="5" customWidth="1"/>
    <col min="10" max="16384" width="8.7109375" style="5"/>
  </cols>
  <sheetData>
    <row r="1" spans="1:8" x14ac:dyDescent="0.25">
      <c r="A1" s="12" t="s">
        <v>0</v>
      </c>
      <c r="B1" s="9" t="s">
        <v>29</v>
      </c>
    </row>
    <row r="2" spans="1:8" x14ac:dyDescent="0.25">
      <c r="A2" s="12" t="s">
        <v>2</v>
      </c>
      <c r="B2" s="5">
        <v>18700</v>
      </c>
    </row>
    <row r="3" spans="1:8" x14ac:dyDescent="0.25">
      <c r="A3" s="12" t="s">
        <v>3</v>
      </c>
      <c r="B3" s="5">
        <v>8.5</v>
      </c>
    </row>
    <row r="4" spans="1:8" ht="29.25" x14ac:dyDescent="0.25">
      <c r="A4" s="13" t="s">
        <v>4</v>
      </c>
      <c r="B4" s="5">
        <v>30</v>
      </c>
    </row>
    <row r="5" spans="1:8" x14ac:dyDescent="0.25">
      <c r="A5" s="12" t="s">
        <v>5</v>
      </c>
      <c r="B5" s="5">
        <f>B2/B4</f>
        <v>623.33333333333337</v>
      </c>
    </row>
    <row r="7" spans="1:8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8" x14ac:dyDescent="0.25">
      <c r="A8" s="2" t="s">
        <v>30</v>
      </c>
      <c r="B8" s="3">
        <v>0.52083333333333304</v>
      </c>
      <c r="C8" s="3">
        <v>0.875</v>
      </c>
      <c r="D8" s="4">
        <f t="shared" ref="D8:D35" si="0">IF(C8&lt;B8,C8+1,C8)-B8</f>
        <v>0.35416666666666696</v>
      </c>
      <c r="E8" s="5">
        <f t="shared" ref="E8:E37" si="1">D8*24</f>
        <v>8.5000000000000071</v>
      </c>
      <c r="F8" s="5">
        <f t="shared" ref="F8:F37" si="2">IF(E8&gt;$B$3,E8-$B$3,0)</f>
        <v>7.1054273576010019E-15</v>
      </c>
      <c r="G8" s="5">
        <f t="shared" ref="G8:G35" si="3">IF(E8&lt;$B$3,$B$3-E8,0)</f>
        <v>0</v>
      </c>
      <c r="H8" s="5">
        <f t="shared" ref="H8:H35" si="4">$B$5*(E8/$B$3)</f>
        <v>623.33333333333394</v>
      </c>
    </row>
    <row r="9" spans="1:8" x14ac:dyDescent="0.25">
      <c r="A9" s="5">
        <v>2</v>
      </c>
      <c r="B9" s="3">
        <v>0.52083333333333304</v>
      </c>
      <c r="C9" s="3">
        <v>0.91319444444444398</v>
      </c>
      <c r="D9" s="4">
        <f t="shared" si="0"/>
        <v>0.39236111111111094</v>
      </c>
      <c r="E9" s="5">
        <f t="shared" si="1"/>
        <v>9.4166666666666625</v>
      </c>
      <c r="F9" s="5">
        <f t="shared" si="2"/>
        <v>0.91666666666666252</v>
      </c>
      <c r="G9" s="5">
        <f t="shared" si="3"/>
        <v>0</v>
      </c>
      <c r="H9" s="5">
        <f t="shared" si="4"/>
        <v>690.55555555555532</v>
      </c>
    </row>
    <row r="10" spans="1:8" x14ac:dyDescent="0.25">
      <c r="A10" s="5">
        <v>3</v>
      </c>
      <c r="B10" s="3">
        <v>0.52430555555555602</v>
      </c>
      <c r="C10" s="3">
        <v>0.92569444444444404</v>
      </c>
      <c r="D10" s="4">
        <f t="shared" si="0"/>
        <v>0.40138888888888802</v>
      </c>
      <c r="E10" s="5">
        <f t="shared" si="1"/>
        <v>9.6333333333333115</v>
      </c>
      <c r="F10" s="5">
        <f t="shared" si="2"/>
        <v>1.1333333333333115</v>
      </c>
      <c r="G10" s="5">
        <f t="shared" si="3"/>
        <v>0</v>
      </c>
      <c r="H10" s="5">
        <f t="shared" si="4"/>
        <v>706.44444444444298</v>
      </c>
    </row>
    <row r="11" spans="1:8" x14ac:dyDescent="0.25">
      <c r="A11" s="5">
        <v>4</v>
      </c>
      <c r="B11" s="3">
        <v>0.41666666666666702</v>
      </c>
      <c r="C11" s="3">
        <v>0.90347222222222201</v>
      </c>
      <c r="D11" s="4">
        <f t="shared" si="0"/>
        <v>0.48680555555555499</v>
      </c>
      <c r="E11" s="5">
        <f t="shared" si="1"/>
        <v>11.683333333333319</v>
      </c>
      <c r="F11" s="5">
        <f t="shared" si="2"/>
        <v>3.1833333333333194</v>
      </c>
      <c r="G11" s="5">
        <f t="shared" si="3"/>
        <v>0</v>
      </c>
      <c r="H11" s="5">
        <f t="shared" si="4"/>
        <v>856.77777777777692</v>
      </c>
    </row>
    <row r="12" spans="1:8" x14ac:dyDescent="0.25">
      <c r="A12" s="5">
        <v>5</v>
      </c>
      <c r="B12" s="3">
        <v>0.52430555555555602</v>
      </c>
      <c r="C12" s="3">
        <v>0.90625</v>
      </c>
      <c r="D12" s="4">
        <f t="shared" si="0"/>
        <v>0.38194444444444398</v>
      </c>
      <c r="E12" s="5">
        <f t="shared" si="1"/>
        <v>9.1666666666666554</v>
      </c>
      <c r="F12" s="5">
        <f t="shared" si="2"/>
        <v>0.66666666666665542</v>
      </c>
      <c r="G12" s="5">
        <f t="shared" si="3"/>
        <v>0</v>
      </c>
      <c r="H12" s="5">
        <f t="shared" si="4"/>
        <v>672.22222222222138</v>
      </c>
    </row>
    <row r="13" spans="1:8" x14ac:dyDescent="0.25">
      <c r="A13" s="5">
        <v>6</v>
      </c>
      <c r="B13" s="3">
        <v>0.52777777777777801</v>
      </c>
      <c r="C13" s="3">
        <v>0.91666666666666696</v>
      </c>
      <c r="D13" s="4">
        <f t="shared" si="0"/>
        <v>0.38888888888888895</v>
      </c>
      <c r="E13" s="5">
        <f t="shared" si="1"/>
        <v>9.3333333333333357</v>
      </c>
      <c r="F13" s="5">
        <f t="shared" si="2"/>
        <v>0.8333333333333357</v>
      </c>
      <c r="G13" s="5">
        <f t="shared" si="3"/>
        <v>0</v>
      </c>
      <c r="H13" s="5">
        <f t="shared" si="4"/>
        <v>684.44444444444468</v>
      </c>
    </row>
    <row r="14" spans="1:8" x14ac:dyDescent="0.25">
      <c r="A14" s="5">
        <v>7</v>
      </c>
      <c r="B14" s="3">
        <v>0.52083333333333304</v>
      </c>
      <c r="C14" s="3">
        <v>0.91597222222222197</v>
      </c>
      <c r="D14" s="4">
        <f t="shared" si="0"/>
        <v>0.39513888888888893</v>
      </c>
      <c r="E14" s="5">
        <f t="shared" si="1"/>
        <v>9.4833333333333343</v>
      </c>
      <c r="F14" s="5">
        <f t="shared" si="2"/>
        <v>0.98333333333333428</v>
      </c>
      <c r="G14" s="5">
        <f t="shared" si="3"/>
        <v>0</v>
      </c>
      <c r="H14" s="5">
        <f t="shared" si="4"/>
        <v>695.44444444444446</v>
      </c>
    </row>
    <row r="15" spans="1:8" x14ac:dyDescent="0.25">
      <c r="A15" s="2" t="s">
        <v>23</v>
      </c>
      <c r="B15" s="3">
        <v>0.52083333333333304</v>
      </c>
      <c r="C15" s="3">
        <v>0.875</v>
      </c>
      <c r="D15" s="4">
        <f t="shared" si="0"/>
        <v>0.35416666666666696</v>
      </c>
      <c r="E15" s="5">
        <f t="shared" si="1"/>
        <v>8.5000000000000071</v>
      </c>
      <c r="F15" s="5">
        <f t="shared" si="2"/>
        <v>7.1054273576010019E-15</v>
      </c>
      <c r="G15" s="5">
        <f t="shared" si="3"/>
        <v>0</v>
      </c>
      <c r="H15" s="5">
        <f t="shared" si="4"/>
        <v>623.33333333333394</v>
      </c>
    </row>
    <row r="16" spans="1:8" x14ac:dyDescent="0.25">
      <c r="A16" s="5">
        <v>9</v>
      </c>
      <c r="B16" s="3">
        <v>0.53749999999999998</v>
      </c>
      <c r="C16" s="3">
        <v>0.905555555555556</v>
      </c>
      <c r="D16" s="4">
        <f t="shared" si="0"/>
        <v>0.36805555555555602</v>
      </c>
      <c r="E16" s="5">
        <f t="shared" si="1"/>
        <v>8.8333333333333446</v>
      </c>
      <c r="F16" s="5">
        <f t="shared" si="2"/>
        <v>0.33333333333334458</v>
      </c>
      <c r="G16" s="5">
        <f t="shared" si="3"/>
        <v>0</v>
      </c>
      <c r="H16" s="5">
        <f t="shared" si="4"/>
        <v>647.77777777777874</v>
      </c>
    </row>
    <row r="17" spans="1:8" x14ac:dyDescent="0.25">
      <c r="A17" s="5">
        <v>10</v>
      </c>
      <c r="B17" s="3">
        <v>0.56805555555555598</v>
      </c>
      <c r="C17" s="3">
        <v>0.92986111111111103</v>
      </c>
      <c r="D17" s="4">
        <f t="shared" si="0"/>
        <v>0.36180555555555505</v>
      </c>
      <c r="E17" s="5">
        <f t="shared" si="1"/>
        <v>8.6833333333333211</v>
      </c>
      <c r="F17" s="5">
        <f t="shared" si="2"/>
        <v>0.18333333333332114</v>
      </c>
      <c r="G17" s="5">
        <f t="shared" si="3"/>
        <v>0</v>
      </c>
      <c r="H17" s="5">
        <f t="shared" si="4"/>
        <v>636.77777777777692</v>
      </c>
    </row>
    <row r="18" spans="1:8" x14ac:dyDescent="0.25">
      <c r="A18" s="5">
        <v>11</v>
      </c>
      <c r="B18" s="3">
        <v>0.563194444444444</v>
      </c>
      <c r="C18" s="3">
        <v>0.93888888888888899</v>
      </c>
      <c r="D18" s="4">
        <f t="shared" si="0"/>
        <v>0.375694444444445</v>
      </c>
      <c r="E18" s="5">
        <f t="shared" si="1"/>
        <v>9.0166666666666799</v>
      </c>
      <c r="F18" s="5">
        <f t="shared" si="2"/>
        <v>0.51666666666667993</v>
      </c>
      <c r="G18" s="5">
        <f t="shared" si="3"/>
        <v>0</v>
      </c>
      <c r="H18" s="5">
        <f t="shared" si="4"/>
        <v>661.22222222222319</v>
      </c>
    </row>
    <row r="19" spans="1:8" x14ac:dyDescent="0.25">
      <c r="A19" s="5">
        <v>12</v>
      </c>
      <c r="B19" s="3">
        <v>0.48819444444444399</v>
      </c>
      <c r="C19" s="3">
        <v>0.90347222222222201</v>
      </c>
      <c r="D19" s="4">
        <f t="shared" si="0"/>
        <v>0.41527777777777802</v>
      </c>
      <c r="E19" s="5">
        <f t="shared" si="1"/>
        <v>9.9666666666666721</v>
      </c>
      <c r="F19" s="5">
        <f t="shared" si="2"/>
        <v>1.4666666666666721</v>
      </c>
      <c r="G19" s="5">
        <f t="shared" si="3"/>
        <v>0</v>
      </c>
      <c r="H19" s="5">
        <f t="shared" si="4"/>
        <v>730.88888888888937</v>
      </c>
    </row>
    <row r="20" spans="1:8" x14ac:dyDescent="0.25">
      <c r="A20" s="5">
        <v>13</v>
      </c>
      <c r="B20" s="3">
        <v>0.57152777777777797</v>
      </c>
      <c r="C20" s="3">
        <v>0.89722222222222203</v>
      </c>
      <c r="D20" s="4">
        <f t="shared" si="0"/>
        <v>0.32569444444444406</v>
      </c>
      <c r="E20" s="5">
        <f t="shared" si="1"/>
        <v>7.8166666666666575</v>
      </c>
      <c r="F20" s="5">
        <f t="shared" si="2"/>
        <v>0</v>
      </c>
      <c r="G20" s="5">
        <f t="shared" si="3"/>
        <v>0.68333333333334245</v>
      </c>
      <c r="H20" s="5">
        <f t="shared" si="4"/>
        <v>573.2222222222216</v>
      </c>
    </row>
    <row r="21" spans="1:8" x14ac:dyDescent="0.25">
      <c r="A21" s="5">
        <v>14</v>
      </c>
      <c r="B21" s="3">
        <v>0.55069444444444404</v>
      </c>
      <c r="C21" s="3">
        <v>0.94027777777777799</v>
      </c>
      <c r="D21" s="4">
        <f t="shared" si="0"/>
        <v>0.38958333333333395</v>
      </c>
      <c r="E21" s="5">
        <f t="shared" si="1"/>
        <v>9.3500000000000156</v>
      </c>
      <c r="F21" s="5">
        <f t="shared" si="2"/>
        <v>0.85000000000001563</v>
      </c>
      <c r="G21" s="5">
        <f t="shared" si="3"/>
        <v>0</v>
      </c>
      <c r="H21" s="5">
        <f t="shared" si="4"/>
        <v>685.66666666666788</v>
      </c>
    </row>
    <row r="22" spans="1:8" x14ac:dyDescent="0.25">
      <c r="A22" s="2" t="s">
        <v>18</v>
      </c>
      <c r="B22" s="3">
        <v>0.52083333333333304</v>
      </c>
      <c r="C22" s="3">
        <v>0.875</v>
      </c>
      <c r="D22" s="4">
        <f t="shared" si="0"/>
        <v>0.35416666666666696</v>
      </c>
      <c r="E22" s="5">
        <f t="shared" si="1"/>
        <v>8.5000000000000071</v>
      </c>
      <c r="F22" s="5">
        <f t="shared" si="2"/>
        <v>7.1054273576010019E-15</v>
      </c>
      <c r="G22" s="5">
        <f t="shared" si="3"/>
        <v>0</v>
      </c>
      <c r="H22" s="5">
        <f t="shared" si="4"/>
        <v>623.33333333333394</v>
      </c>
    </row>
    <row r="23" spans="1:8" x14ac:dyDescent="0.25">
      <c r="A23" s="5">
        <v>16</v>
      </c>
      <c r="B23" s="3">
        <v>0.45902777777777798</v>
      </c>
      <c r="C23" s="3">
        <v>0.92430555555555605</v>
      </c>
      <c r="D23" s="4">
        <f t="shared" si="0"/>
        <v>0.46527777777777807</v>
      </c>
      <c r="E23" s="5">
        <f t="shared" si="1"/>
        <v>11.166666666666673</v>
      </c>
      <c r="F23" s="5">
        <f t="shared" si="2"/>
        <v>2.6666666666666732</v>
      </c>
      <c r="G23" s="5">
        <f t="shared" si="3"/>
        <v>0</v>
      </c>
      <c r="H23" s="5">
        <f t="shared" si="4"/>
        <v>818.88888888888937</v>
      </c>
    </row>
    <row r="24" spans="1:8" x14ac:dyDescent="0.25">
      <c r="A24" s="5">
        <v>17</v>
      </c>
      <c r="B24" s="3">
        <v>0.51041666666666696</v>
      </c>
      <c r="C24" s="3">
        <v>0.88749999999999996</v>
      </c>
      <c r="D24" s="4">
        <f t="shared" si="0"/>
        <v>0.37708333333333299</v>
      </c>
      <c r="E24" s="5">
        <f t="shared" si="1"/>
        <v>9.0499999999999918</v>
      </c>
      <c r="F24" s="5">
        <f t="shared" si="2"/>
        <v>0.54999999999999183</v>
      </c>
      <c r="G24" s="5">
        <f t="shared" si="3"/>
        <v>0</v>
      </c>
      <c r="H24" s="5">
        <f t="shared" si="4"/>
        <v>663.66666666666617</v>
      </c>
    </row>
    <row r="25" spans="1:8" x14ac:dyDescent="0.25">
      <c r="A25" s="5">
        <v>18</v>
      </c>
      <c r="B25" s="3">
        <v>0.58333333333333304</v>
      </c>
      <c r="C25" s="3">
        <v>0.86319444444444404</v>
      </c>
      <c r="D25" s="4">
        <f t="shared" si="0"/>
        <v>0.27986111111111101</v>
      </c>
      <c r="E25" s="5">
        <f t="shared" si="1"/>
        <v>6.7166666666666641</v>
      </c>
      <c r="F25" s="5">
        <f t="shared" si="2"/>
        <v>0</v>
      </c>
      <c r="G25" s="5">
        <f t="shared" si="3"/>
        <v>1.7833333333333359</v>
      </c>
      <c r="H25" s="5">
        <f t="shared" si="4"/>
        <v>492.55555555555543</v>
      </c>
    </row>
    <row r="26" spans="1:8" x14ac:dyDescent="0.25">
      <c r="A26" s="5">
        <v>19</v>
      </c>
      <c r="B26" s="3">
        <v>0.39444444444444399</v>
      </c>
      <c r="C26" s="3">
        <v>0.69166666666666698</v>
      </c>
      <c r="D26" s="4">
        <f t="shared" si="0"/>
        <v>0.297222222222223</v>
      </c>
      <c r="E26" s="5">
        <f t="shared" si="1"/>
        <v>7.1333333333333524</v>
      </c>
      <c r="F26" s="5">
        <f t="shared" si="2"/>
        <v>0</v>
      </c>
      <c r="G26" s="5">
        <f t="shared" si="3"/>
        <v>1.3666666666666476</v>
      </c>
      <c r="H26" s="5">
        <f t="shared" si="4"/>
        <v>523.11111111111256</v>
      </c>
    </row>
    <row r="27" spans="1:8" x14ac:dyDescent="0.25">
      <c r="A27" s="5">
        <v>20</v>
      </c>
      <c r="B27" s="3">
        <v>0.39305555555555599</v>
      </c>
      <c r="C27" s="3">
        <v>0.70277777777777795</v>
      </c>
      <c r="D27" s="4">
        <f t="shared" si="0"/>
        <v>0.30972222222222195</v>
      </c>
      <c r="E27" s="5">
        <f t="shared" si="1"/>
        <v>7.4333333333333265</v>
      </c>
      <c r="F27" s="5">
        <f t="shared" si="2"/>
        <v>0</v>
      </c>
      <c r="G27" s="5">
        <f t="shared" si="3"/>
        <v>1.0666666666666735</v>
      </c>
      <c r="H27" s="5">
        <f t="shared" si="4"/>
        <v>545.11111111111063</v>
      </c>
    </row>
    <row r="28" spans="1:8" x14ac:dyDescent="0.25">
      <c r="A28" s="5">
        <v>21</v>
      </c>
      <c r="B28" s="3">
        <v>0.37361111111111112</v>
      </c>
      <c r="C28" s="3">
        <v>0.70833333333333304</v>
      </c>
      <c r="D28" s="4">
        <f t="shared" si="0"/>
        <v>0.33472222222222192</v>
      </c>
      <c r="E28" s="5">
        <f t="shared" si="1"/>
        <v>8.0333333333333261</v>
      </c>
      <c r="F28" s="5">
        <f t="shared" si="2"/>
        <v>0</v>
      </c>
      <c r="G28" s="5">
        <f t="shared" si="3"/>
        <v>0.46666666666667389</v>
      </c>
      <c r="H28" s="5">
        <f t="shared" si="4"/>
        <v>589.11111111111063</v>
      </c>
    </row>
    <row r="29" spans="1:8" x14ac:dyDescent="0.25">
      <c r="A29" s="2" t="s">
        <v>24</v>
      </c>
      <c r="B29" s="3">
        <v>0.52083333333333304</v>
      </c>
      <c r="C29" s="3">
        <v>0.875</v>
      </c>
      <c r="D29" s="4">
        <f t="shared" si="0"/>
        <v>0.35416666666666696</v>
      </c>
      <c r="E29" s="5">
        <f t="shared" si="1"/>
        <v>8.5000000000000071</v>
      </c>
      <c r="F29" s="5">
        <f t="shared" si="2"/>
        <v>7.1054273576010019E-15</v>
      </c>
      <c r="G29" s="5">
        <f t="shared" si="3"/>
        <v>0</v>
      </c>
      <c r="H29" s="5">
        <f t="shared" si="4"/>
        <v>623.33333333333394</v>
      </c>
    </row>
    <row r="30" spans="1:8" x14ac:dyDescent="0.25">
      <c r="A30" s="5">
        <v>23</v>
      </c>
      <c r="B30" s="3">
        <v>0.39583333333333298</v>
      </c>
      <c r="C30" s="3">
        <v>0.70486111111111105</v>
      </c>
      <c r="D30" s="4">
        <f t="shared" si="0"/>
        <v>0.30902777777777807</v>
      </c>
      <c r="E30" s="5">
        <f t="shared" si="1"/>
        <v>7.4166666666666732</v>
      </c>
      <c r="F30" s="5">
        <f t="shared" si="2"/>
        <v>0</v>
      </c>
      <c r="G30" s="5">
        <f t="shared" si="3"/>
        <v>1.0833333333333268</v>
      </c>
      <c r="H30" s="5">
        <f t="shared" si="4"/>
        <v>543.88888888888937</v>
      </c>
    </row>
    <row r="31" spans="1:8" x14ac:dyDescent="0.25">
      <c r="A31" s="5">
        <v>24</v>
      </c>
      <c r="B31" s="3">
        <v>0.36458333333333331</v>
      </c>
      <c r="C31" s="3">
        <v>0.67638888888888904</v>
      </c>
      <c r="D31" s="4">
        <f t="shared" si="0"/>
        <v>0.31180555555555572</v>
      </c>
      <c r="E31" s="5">
        <f t="shared" si="1"/>
        <v>7.4833333333333378</v>
      </c>
      <c r="F31" s="5">
        <f t="shared" si="2"/>
        <v>0</v>
      </c>
      <c r="G31" s="5">
        <f t="shared" si="3"/>
        <v>1.0166666666666622</v>
      </c>
      <c r="H31" s="5">
        <f t="shared" si="4"/>
        <v>548.77777777777817</v>
      </c>
    </row>
    <row r="32" spans="1:8" x14ac:dyDescent="0.25">
      <c r="A32" s="5">
        <v>25</v>
      </c>
      <c r="B32" s="3">
        <v>0.41388888888888897</v>
      </c>
      <c r="C32" s="3">
        <v>0.70486111111111105</v>
      </c>
      <c r="D32" s="4">
        <f t="shared" si="0"/>
        <v>0.29097222222222208</v>
      </c>
      <c r="E32" s="5">
        <f t="shared" si="1"/>
        <v>6.9833333333333298</v>
      </c>
      <c r="F32" s="5">
        <f t="shared" si="2"/>
        <v>0</v>
      </c>
      <c r="G32" s="5">
        <f t="shared" si="3"/>
        <v>1.5166666666666702</v>
      </c>
      <c r="H32" s="5">
        <f t="shared" si="4"/>
        <v>512.11111111111086</v>
      </c>
    </row>
    <row r="33" spans="1:8" x14ac:dyDescent="0.25">
      <c r="A33" s="5">
        <v>26</v>
      </c>
      <c r="B33" s="3">
        <v>0.43263888888888902</v>
      </c>
      <c r="C33" s="3">
        <v>0.68333333333333302</v>
      </c>
      <c r="D33" s="4">
        <f t="shared" si="0"/>
        <v>0.250694444444444</v>
      </c>
      <c r="E33" s="5">
        <f t="shared" si="1"/>
        <v>6.0166666666666559</v>
      </c>
      <c r="F33" s="5">
        <f t="shared" si="2"/>
        <v>0</v>
      </c>
      <c r="G33" s="5">
        <f t="shared" si="3"/>
        <v>2.4833333333333441</v>
      </c>
      <c r="H33" s="5">
        <f t="shared" si="4"/>
        <v>441.22222222222143</v>
      </c>
    </row>
    <row r="34" spans="1:8" x14ac:dyDescent="0.25">
      <c r="A34" s="5">
        <v>27</v>
      </c>
      <c r="B34" s="3">
        <v>0.436805555555556</v>
      </c>
      <c r="C34" s="3">
        <v>0.71111111111111103</v>
      </c>
      <c r="D34" s="4">
        <f t="shared" si="0"/>
        <v>0.27430555555555503</v>
      </c>
      <c r="E34" s="5">
        <f t="shared" si="1"/>
        <v>6.5833333333333206</v>
      </c>
      <c r="F34" s="5">
        <f t="shared" si="2"/>
        <v>0</v>
      </c>
      <c r="G34" s="5">
        <f t="shared" si="3"/>
        <v>1.9166666666666794</v>
      </c>
      <c r="H34" s="5">
        <f t="shared" si="4"/>
        <v>482.77777777777686</v>
      </c>
    </row>
    <row r="35" spans="1:8" x14ac:dyDescent="0.25">
      <c r="A35" s="5" t="s">
        <v>35</v>
      </c>
      <c r="B35" s="3">
        <v>0.52083333333333304</v>
      </c>
      <c r="C35" s="3">
        <v>0.875</v>
      </c>
      <c r="D35" s="4">
        <f t="shared" si="0"/>
        <v>0.35416666666666696</v>
      </c>
      <c r="E35" s="5">
        <f t="shared" si="1"/>
        <v>8.5000000000000071</v>
      </c>
      <c r="F35" s="5">
        <f t="shared" si="2"/>
        <v>7.1054273576010019E-15</v>
      </c>
      <c r="G35" s="5">
        <f t="shared" si="3"/>
        <v>0</v>
      </c>
      <c r="H35" s="5">
        <f t="shared" si="4"/>
        <v>623.33333333333394</v>
      </c>
    </row>
    <row r="36" spans="1:8" x14ac:dyDescent="0.25">
      <c r="A36" s="5">
        <v>29</v>
      </c>
      <c r="B36" s="3">
        <v>0.52083333333333304</v>
      </c>
      <c r="C36" s="3">
        <v>0.875</v>
      </c>
      <c r="D36" s="4">
        <f t="shared" ref="D36:D37" si="5">IF(C36&lt;B36,C36+1,C36)-B36</f>
        <v>0.35416666666666696</v>
      </c>
      <c r="E36" s="5">
        <f t="shared" si="1"/>
        <v>8.5000000000000071</v>
      </c>
      <c r="F36" s="5">
        <f t="shared" si="2"/>
        <v>7.1054273576010019E-15</v>
      </c>
      <c r="G36" s="5">
        <f t="shared" ref="G36:G37" si="6">IF(E36&lt;$B$3,$B$3-E36,0)</f>
        <v>0</v>
      </c>
      <c r="H36" s="5">
        <f t="shared" ref="H36:H37" si="7">$B$5*(E36/$B$3)</f>
        <v>623.33333333333394</v>
      </c>
    </row>
    <row r="37" spans="1:8" x14ac:dyDescent="0.25">
      <c r="A37" s="5">
        <v>30</v>
      </c>
      <c r="B37" s="3">
        <v>0.52083333333333304</v>
      </c>
      <c r="C37" s="3">
        <v>0.875</v>
      </c>
      <c r="D37" s="4">
        <f t="shared" si="5"/>
        <v>0.35416666666666696</v>
      </c>
      <c r="E37" s="5">
        <f t="shared" si="1"/>
        <v>8.5000000000000071</v>
      </c>
      <c r="F37" s="5">
        <f t="shared" si="2"/>
        <v>7.1054273576010019E-15</v>
      </c>
      <c r="G37" s="5">
        <f t="shared" si="6"/>
        <v>0</v>
      </c>
      <c r="H37" s="5">
        <f t="shared" si="7"/>
        <v>623.33333333333394</v>
      </c>
    </row>
    <row r="38" spans="1:8" x14ac:dyDescent="0.25">
      <c r="A38" s="1" t="s">
        <v>14</v>
      </c>
      <c r="E38" s="5">
        <f>SUM(E8:E35)</f>
        <v>238.9</v>
      </c>
      <c r="F38" s="5">
        <f>SUM(F8:F35)</f>
        <v>14.283333333333353</v>
      </c>
      <c r="H38" s="5">
        <f>SUM(H8:H37)</f>
        <v>18766.000000000007</v>
      </c>
    </row>
    <row r="40" spans="1:8" s="7" customFormat="1" x14ac:dyDescent="0.25">
      <c r="A40" s="8" t="s">
        <v>20</v>
      </c>
      <c r="H40" s="7">
        <f>SUM(H8:H37)-200</f>
        <v>18566.000000000007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zoomScale="95" zoomScaleNormal="95" workbookViewId="0">
      <selection activeCell="C44" sqref="C44"/>
    </sheetView>
  </sheetViews>
  <sheetFormatPr defaultColWidth="8.7109375" defaultRowHeight="15" x14ac:dyDescent="0.25"/>
  <cols>
    <col min="1" max="1" width="20.28515625" style="5" customWidth="1"/>
    <col min="2" max="2" width="16.140625" style="5" bestFit="1" customWidth="1"/>
    <col min="3" max="3" width="12" style="5" bestFit="1" customWidth="1"/>
    <col min="4" max="4" width="13.5703125" style="5" bestFit="1" customWidth="1"/>
    <col min="5" max="5" width="17.85546875" style="5" bestFit="1" customWidth="1"/>
    <col min="6" max="6" width="12.5703125" style="5" bestFit="1" customWidth="1"/>
    <col min="7" max="7" width="13.42578125" style="5" bestFit="1" customWidth="1"/>
    <col min="8" max="8" width="15.42578125" style="5" bestFit="1" customWidth="1"/>
    <col min="9" max="9" width="13.28515625" style="5" customWidth="1"/>
    <col min="10" max="16384" width="8.7109375" style="5"/>
  </cols>
  <sheetData>
    <row r="1" spans="1:8" x14ac:dyDescent="0.25">
      <c r="A1" s="12" t="s">
        <v>0</v>
      </c>
      <c r="B1" s="9" t="s">
        <v>31</v>
      </c>
    </row>
    <row r="2" spans="1:8" x14ac:dyDescent="0.25">
      <c r="A2" s="12" t="s">
        <v>2</v>
      </c>
      <c r="B2" s="5">
        <v>25000</v>
      </c>
    </row>
    <row r="3" spans="1:8" x14ac:dyDescent="0.25">
      <c r="A3" s="12" t="s">
        <v>3</v>
      </c>
      <c r="B3" s="5">
        <v>8.5</v>
      </c>
    </row>
    <row r="4" spans="1:8" ht="29.25" x14ac:dyDescent="0.25">
      <c r="A4" s="13" t="s">
        <v>4</v>
      </c>
      <c r="B4" s="5">
        <v>30</v>
      </c>
    </row>
    <row r="5" spans="1:8" x14ac:dyDescent="0.25">
      <c r="A5" s="12" t="s">
        <v>5</v>
      </c>
      <c r="B5" s="5">
        <f>B2/B4</f>
        <v>833.33333333333337</v>
      </c>
    </row>
    <row r="7" spans="1:8" s="10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spans="1:8" x14ac:dyDescent="0.25">
      <c r="A8" s="2" t="s">
        <v>22</v>
      </c>
      <c r="B8" s="3">
        <v>0.375</v>
      </c>
      <c r="C8" s="3">
        <v>0.72916666666666696</v>
      </c>
      <c r="D8" s="4">
        <f t="shared" ref="D8:D35" si="0">IF(C8&lt;B8,C8+1,C8)-B8</f>
        <v>0.35416666666666696</v>
      </c>
      <c r="E8" s="5">
        <f t="shared" ref="E8:E37" si="1">D8*24</f>
        <v>8.5000000000000071</v>
      </c>
      <c r="F8" s="5">
        <f t="shared" ref="F8:F37" si="2">IF(E8&gt;$B$3,E8-$B$3,0)</f>
        <v>7.1054273576010019E-15</v>
      </c>
      <c r="G8" s="5">
        <f t="shared" ref="G8:G35" si="3">IF(E8&lt;$B$3,$B$3-E8,0)</f>
        <v>0</v>
      </c>
      <c r="H8" s="5">
        <f t="shared" ref="H8:H35" si="4">$B$5*(E8/$B$3)</f>
        <v>833.33333333333417</v>
      </c>
    </row>
    <row r="9" spans="1:8" x14ac:dyDescent="0.25">
      <c r="A9" s="5">
        <v>2</v>
      </c>
      <c r="B9" s="3">
        <v>0.36805555555555602</v>
      </c>
      <c r="C9" s="3">
        <v>0.6875</v>
      </c>
      <c r="D9" s="4">
        <f t="shared" si="0"/>
        <v>0.31944444444444398</v>
      </c>
      <c r="E9" s="5">
        <f t="shared" si="1"/>
        <v>7.6666666666666554</v>
      </c>
      <c r="F9" s="5">
        <f t="shared" si="2"/>
        <v>0</v>
      </c>
      <c r="G9" s="5">
        <f t="shared" si="3"/>
        <v>0.83333333333334458</v>
      </c>
      <c r="H9" s="5">
        <f t="shared" si="4"/>
        <v>751.63398692810347</v>
      </c>
    </row>
    <row r="10" spans="1:8" x14ac:dyDescent="0.25">
      <c r="A10" s="5">
        <v>3</v>
      </c>
      <c r="B10" s="3">
        <v>0.38819444444444401</v>
      </c>
      <c r="C10" s="3">
        <v>0.75208333333333299</v>
      </c>
      <c r="D10" s="4">
        <f t="shared" si="0"/>
        <v>0.36388888888888898</v>
      </c>
      <c r="E10" s="5">
        <f t="shared" si="1"/>
        <v>8.7333333333333361</v>
      </c>
      <c r="F10" s="5">
        <f t="shared" si="2"/>
        <v>0.23333333333333606</v>
      </c>
      <c r="G10" s="5">
        <f t="shared" si="3"/>
        <v>0</v>
      </c>
      <c r="H10" s="5">
        <f t="shared" si="4"/>
        <v>856.20915032679773</v>
      </c>
    </row>
    <row r="11" spans="1:8" x14ac:dyDescent="0.25">
      <c r="A11" s="5" t="s">
        <v>37</v>
      </c>
      <c r="B11" s="3">
        <v>0.375</v>
      </c>
      <c r="C11" s="3">
        <v>0.72916666666666696</v>
      </c>
      <c r="D11" s="4">
        <f t="shared" si="0"/>
        <v>0.35416666666666696</v>
      </c>
      <c r="E11" s="5">
        <f t="shared" si="1"/>
        <v>8.5000000000000071</v>
      </c>
      <c r="F11" s="5">
        <f t="shared" si="2"/>
        <v>7.1054273576010019E-15</v>
      </c>
      <c r="G11" s="5">
        <f t="shared" si="3"/>
        <v>0</v>
      </c>
      <c r="H11" s="5">
        <f t="shared" si="4"/>
        <v>833.33333333333417</v>
      </c>
    </row>
    <row r="12" spans="1:8" x14ac:dyDescent="0.25">
      <c r="A12" s="5">
        <v>5</v>
      </c>
      <c r="B12" s="3">
        <v>0.375</v>
      </c>
      <c r="C12" s="3">
        <v>0.72916666666666663</v>
      </c>
      <c r="D12" s="4">
        <f t="shared" si="0"/>
        <v>0.35416666666666663</v>
      </c>
      <c r="E12" s="5">
        <f t="shared" si="1"/>
        <v>8.5</v>
      </c>
      <c r="F12" s="5">
        <f t="shared" si="2"/>
        <v>0</v>
      </c>
      <c r="G12" s="5">
        <f t="shared" si="3"/>
        <v>0</v>
      </c>
      <c r="H12" s="5">
        <f t="shared" si="4"/>
        <v>833.33333333333337</v>
      </c>
    </row>
    <row r="13" spans="1:8" x14ac:dyDescent="0.25">
      <c r="A13" s="5">
        <v>6</v>
      </c>
      <c r="B13" s="3">
        <v>0.4</v>
      </c>
      <c r="C13" s="3">
        <v>0.79305555555555496</v>
      </c>
      <c r="D13" s="4">
        <f t="shared" si="0"/>
        <v>0.39305555555555494</v>
      </c>
      <c r="E13" s="5">
        <f t="shared" si="1"/>
        <v>9.4333333333333194</v>
      </c>
      <c r="F13" s="5">
        <f t="shared" si="2"/>
        <v>0.93333333333331936</v>
      </c>
      <c r="G13" s="5">
        <f t="shared" si="3"/>
        <v>0</v>
      </c>
      <c r="H13" s="5">
        <f t="shared" si="4"/>
        <v>924.83660130718818</v>
      </c>
    </row>
    <row r="14" spans="1:8" x14ac:dyDescent="0.25">
      <c r="A14" s="5">
        <v>7</v>
      </c>
      <c r="B14" s="3">
        <v>0.375694444444444</v>
      </c>
      <c r="C14" s="3">
        <v>0.78611111111111098</v>
      </c>
      <c r="D14" s="4">
        <f t="shared" si="0"/>
        <v>0.41041666666666698</v>
      </c>
      <c r="E14" s="5">
        <f t="shared" si="1"/>
        <v>9.8500000000000085</v>
      </c>
      <c r="F14" s="5">
        <f t="shared" si="2"/>
        <v>1.3500000000000085</v>
      </c>
      <c r="G14" s="5">
        <f t="shared" si="3"/>
        <v>0</v>
      </c>
      <c r="H14" s="5">
        <f t="shared" si="4"/>
        <v>965.68627450980478</v>
      </c>
    </row>
    <row r="15" spans="1:8" x14ac:dyDescent="0.25">
      <c r="A15" s="2" t="s">
        <v>23</v>
      </c>
      <c r="B15" s="3">
        <v>0.375</v>
      </c>
      <c r="C15" s="3">
        <v>0.72916666666666696</v>
      </c>
      <c r="D15" s="4">
        <f t="shared" si="0"/>
        <v>0.35416666666666696</v>
      </c>
      <c r="E15" s="5">
        <f t="shared" si="1"/>
        <v>8.5000000000000071</v>
      </c>
      <c r="F15" s="5">
        <f t="shared" si="2"/>
        <v>7.1054273576010019E-15</v>
      </c>
      <c r="G15" s="5">
        <f t="shared" si="3"/>
        <v>0</v>
      </c>
      <c r="H15" s="5">
        <f t="shared" si="4"/>
        <v>833.33333333333417</v>
      </c>
    </row>
    <row r="16" spans="1:8" x14ac:dyDescent="0.25">
      <c r="A16" s="5">
        <v>9</v>
      </c>
      <c r="B16" s="3">
        <v>0.38680555555555601</v>
      </c>
      <c r="C16" s="3">
        <v>0.71736111111111101</v>
      </c>
      <c r="D16" s="4">
        <f t="shared" si="0"/>
        <v>0.33055555555555499</v>
      </c>
      <c r="E16" s="5">
        <f t="shared" si="1"/>
        <v>7.9333333333333194</v>
      </c>
      <c r="F16" s="5">
        <f t="shared" si="2"/>
        <v>0</v>
      </c>
      <c r="G16" s="5">
        <f t="shared" si="3"/>
        <v>0.56666666666668064</v>
      </c>
      <c r="H16" s="5">
        <f t="shared" si="4"/>
        <v>777.77777777777646</v>
      </c>
    </row>
    <row r="17" spans="1:8" x14ac:dyDescent="0.25">
      <c r="A17" s="5">
        <v>10</v>
      </c>
      <c r="B17" s="3">
        <v>0.38541666666666702</v>
      </c>
      <c r="C17" s="3">
        <v>0.78263888888888899</v>
      </c>
      <c r="D17" s="4">
        <f t="shared" si="0"/>
        <v>0.39722222222222198</v>
      </c>
      <c r="E17" s="5">
        <f t="shared" si="1"/>
        <v>9.5333333333333279</v>
      </c>
      <c r="F17" s="5">
        <f t="shared" si="2"/>
        <v>1.0333333333333279</v>
      </c>
      <c r="G17" s="5">
        <f t="shared" si="3"/>
        <v>0</v>
      </c>
      <c r="H17" s="5">
        <f t="shared" si="4"/>
        <v>934.64052287581649</v>
      </c>
    </row>
    <row r="18" spans="1:8" x14ac:dyDescent="0.25">
      <c r="A18" s="5">
        <v>11</v>
      </c>
      <c r="B18" s="3">
        <v>0.38333333333333303</v>
      </c>
      <c r="C18" s="3">
        <v>0.77916666666666701</v>
      </c>
      <c r="D18" s="4">
        <f t="shared" si="0"/>
        <v>0.39583333333333398</v>
      </c>
      <c r="E18" s="5">
        <f t="shared" si="1"/>
        <v>9.500000000000016</v>
      </c>
      <c r="F18" s="5">
        <f t="shared" si="2"/>
        <v>1.000000000000016</v>
      </c>
      <c r="G18" s="5">
        <f t="shared" si="3"/>
        <v>0</v>
      </c>
      <c r="H18" s="5">
        <f t="shared" si="4"/>
        <v>931.37254901960944</v>
      </c>
    </row>
    <row r="19" spans="1:8" x14ac:dyDescent="0.25">
      <c r="A19" s="5">
        <v>12</v>
      </c>
      <c r="B19" s="3">
        <v>0.40138888888888902</v>
      </c>
      <c r="C19" s="3">
        <v>0.718055555555556</v>
      </c>
      <c r="D19" s="4">
        <f t="shared" si="0"/>
        <v>0.31666666666666698</v>
      </c>
      <c r="E19" s="5">
        <f t="shared" si="1"/>
        <v>7.6000000000000076</v>
      </c>
      <c r="F19" s="5">
        <f t="shared" si="2"/>
        <v>0</v>
      </c>
      <c r="G19" s="5">
        <f t="shared" si="3"/>
        <v>0.89999999999999236</v>
      </c>
      <c r="H19" s="5">
        <f t="shared" si="4"/>
        <v>745.09803921568709</v>
      </c>
    </row>
    <row r="20" spans="1:8" x14ac:dyDescent="0.25">
      <c r="A20" s="5">
        <v>13</v>
      </c>
      <c r="B20" s="3">
        <v>0.39583333333333298</v>
      </c>
      <c r="C20" s="3">
        <v>0.76249999999999996</v>
      </c>
      <c r="D20" s="4">
        <f t="shared" si="0"/>
        <v>0.36666666666666697</v>
      </c>
      <c r="E20" s="5">
        <f t="shared" si="1"/>
        <v>8.8000000000000078</v>
      </c>
      <c r="F20" s="5">
        <f t="shared" si="2"/>
        <v>0.30000000000000782</v>
      </c>
      <c r="G20" s="5">
        <f t="shared" si="3"/>
        <v>0</v>
      </c>
      <c r="H20" s="5">
        <f t="shared" si="4"/>
        <v>862.7450980392166</v>
      </c>
    </row>
    <row r="21" spans="1:8" x14ac:dyDescent="0.25">
      <c r="A21" s="5">
        <v>14</v>
      </c>
      <c r="B21" s="3">
        <v>0.37638888888888899</v>
      </c>
      <c r="C21" s="3">
        <v>0.83819444444444402</v>
      </c>
      <c r="D21" s="4">
        <f t="shared" si="0"/>
        <v>0.46180555555555503</v>
      </c>
      <c r="E21" s="5">
        <f t="shared" si="1"/>
        <v>11.083333333333321</v>
      </c>
      <c r="F21" s="5">
        <f t="shared" si="2"/>
        <v>2.5833333333333215</v>
      </c>
      <c r="G21" s="5">
        <f t="shared" si="3"/>
        <v>0</v>
      </c>
      <c r="H21" s="5">
        <f t="shared" si="4"/>
        <v>1086.6013071895416</v>
      </c>
    </row>
    <row r="22" spans="1:8" x14ac:dyDescent="0.25">
      <c r="A22" s="2" t="s">
        <v>28</v>
      </c>
      <c r="B22" s="3">
        <v>0.375</v>
      </c>
      <c r="C22" s="3">
        <v>0.72916666666666696</v>
      </c>
      <c r="D22" s="4">
        <f t="shared" si="0"/>
        <v>0.35416666666666696</v>
      </c>
      <c r="E22" s="5">
        <f t="shared" si="1"/>
        <v>8.5000000000000071</v>
      </c>
      <c r="F22" s="5">
        <f t="shared" si="2"/>
        <v>7.1054273576010019E-15</v>
      </c>
      <c r="G22" s="5">
        <f t="shared" si="3"/>
        <v>0</v>
      </c>
      <c r="H22" s="5">
        <f t="shared" si="4"/>
        <v>833.33333333333417</v>
      </c>
    </row>
    <row r="23" spans="1:8" x14ac:dyDescent="0.25">
      <c r="A23" s="5">
        <v>16</v>
      </c>
      <c r="B23" s="3">
        <v>0.38541666666666702</v>
      </c>
      <c r="C23" s="3">
        <v>0.69097222222222199</v>
      </c>
      <c r="D23" s="4">
        <f t="shared" si="0"/>
        <v>0.30555555555555497</v>
      </c>
      <c r="E23" s="5">
        <f t="shared" si="1"/>
        <v>7.3333333333333197</v>
      </c>
      <c r="F23" s="5">
        <f t="shared" si="2"/>
        <v>0</v>
      </c>
      <c r="G23" s="5">
        <f t="shared" si="3"/>
        <v>1.1666666666666803</v>
      </c>
      <c r="H23" s="5">
        <f t="shared" si="4"/>
        <v>718.95424836601171</v>
      </c>
    </row>
    <row r="24" spans="1:8" x14ac:dyDescent="0.25">
      <c r="A24" s="5">
        <v>17</v>
      </c>
      <c r="B24" s="3">
        <v>0.40763888888888899</v>
      </c>
      <c r="C24" s="3">
        <v>0.72916666666666696</v>
      </c>
      <c r="D24" s="4">
        <f t="shared" si="0"/>
        <v>0.32152777777777797</v>
      </c>
      <c r="E24" s="5">
        <f t="shared" si="1"/>
        <v>7.7166666666666712</v>
      </c>
      <c r="F24" s="5">
        <f t="shared" si="2"/>
        <v>0</v>
      </c>
      <c r="G24" s="5">
        <f t="shared" si="3"/>
        <v>0.78333333333332877</v>
      </c>
      <c r="H24" s="5">
        <f t="shared" si="4"/>
        <v>756.53594771241876</v>
      </c>
    </row>
    <row r="25" spans="1:8" x14ac:dyDescent="0.25">
      <c r="A25" s="5">
        <v>18</v>
      </c>
      <c r="B25" s="3">
        <v>0.38402777777777802</v>
      </c>
      <c r="C25" s="3">
        <v>0.72430555555555598</v>
      </c>
      <c r="D25" s="4">
        <f t="shared" si="0"/>
        <v>0.34027777777777796</v>
      </c>
      <c r="E25" s="5">
        <f t="shared" si="1"/>
        <v>8.1666666666666714</v>
      </c>
      <c r="F25" s="5">
        <f t="shared" si="2"/>
        <v>0</v>
      </c>
      <c r="G25" s="5">
        <f t="shared" si="3"/>
        <v>0.3333333333333286</v>
      </c>
      <c r="H25" s="5">
        <f t="shared" si="4"/>
        <v>800.6535947712423</v>
      </c>
    </row>
    <row r="26" spans="1:8" x14ac:dyDescent="0.25">
      <c r="A26" s="5">
        <v>19</v>
      </c>
      <c r="B26" s="3">
        <v>0.39444444444444443</v>
      </c>
      <c r="C26" s="3">
        <v>0.72916666666666663</v>
      </c>
      <c r="D26" s="4">
        <f t="shared" si="0"/>
        <v>0.3347222222222222</v>
      </c>
      <c r="E26" s="5">
        <f t="shared" si="1"/>
        <v>8.0333333333333332</v>
      </c>
      <c r="F26" s="5">
        <f t="shared" si="2"/>
        <v>0</v>
      </c>
      <c r="G26" s="5">
        <f t="shared" si="3"/>
        <v>0.46666666666666679</v>
      </c>
      <c r="H26" s="5">
        <f t="shared" si="4"/>
        <v>787.58169934640523</v>
      </c>
    </row>
    <row r="27" spans="1:8" x14ac:dyDescent="0.25">
      <c r="A27" s="5">
        <v>20</v>
      </c>
      <c r="B27" s="3">
        <v>0.38333333333333303</v>
      </c>
      <c r="C27" s="3">
        <v>0.686805555555556</v>
      </c>
      <c r="D27" s="4">
        <f t="shared" si="0"/>
        <v>0.30347222222222298</v>
      </c>
      <c r="E27" s="5">
        <f t="shared" si="1"/>
        <v>7.283333333333351</v>
      </c>
      <c r="F27" s="5">
        <f t="shared" si="2"/>
        <v>0</v>
      </c>
      <c r="G27" s="5">
        <f t="shared" si="3"/>
        <v>1.216666666666649</v>
      </c>
      <c r="H27" s="5">
        <f t="shared" si="4"/>
        <v>714.05228758170108</v>
      </c>
    </row>
    <row r="28" spans="1:8" x14ac:dyDescent="0.25">
      <c r="A28" s="5">
        <v>21</v>
      </c>
      <c r="B28" s="3">
        <v>0.38402777777777802</v>
      </c>
      <c r="C28" s="3">
        <v>0.68194444444444402</v>
      </c>
      <c r="D28" s="4">
        <f t="shared" si="0"/>
        <v>0.297916666666666</v>
      </c>
      <c r="E28" s="5">
        <f t="shared" si="1"/>
        <v>7.1499999999999844</v>
      </c>
      <c r="F28" s="5">
        <f t="shared" si="2"/>
        <v>0</v>
      </c>
      <c r="G28" s="5">
        <f t="shared" si="3"/>
        <v>1.3500000000000156</v>
      </c>
      <c r="H28" s="5">
        <f t="shared" si="4"/>
        <v>700.98039215686117</v>
      </c>
    </row>
    <row r="29" spans="1:8" x14ac:dyDescent="0.25">
      <c r="A29" s="2" t="s">
        <v>24</v>
      </c>
      <c r="B29" s="3">
        <v>0.375</v>
      </c>
      <c r="C29" s="3">
        <v>0.72916666666666696</v>
      </c>
      <c r="D29" s="4">
        <f t="shared" si="0"/>
        <v>0.35416666666666696</v>
      </c>
      <c r="E29" s="5">
        <f t="shared" si="1"/>
        <v>8.5000000000000071</v>
      </c>
      <c r="F29" s="5">
        <f t="shared" si="2"/>
        <v>7.1054273576010019E-15</v>
      </c>
      <c r="G29" s="5">
        <f t="shared" si="3"/>
        <v>0</v>
      </c>
      <c r="H29" s="5">
        <f t="shared" si="4"/>
        <v>833.33333333333417</v>
      </c>
    </row>
    <row r="30" spans="1:8" x14ac:dyDescent="0.25">
      <c r="A30" s="5">
        <v>23</v>
      </c>
      <c r="B30" s="3">
        <v>0.39236111111111099</v>
      </c>
      <c r="C30" s="3">
        <v>0.6875</v>
      </c>
      <c r="D30" s="4">
        <f t="shared" si="0"/>
        <v>0.29513888888888901</v>
      </c>
      <c r="E30" s="5">
        <f t="shared" si="1"/>
        <v>7.0833333333333357</v>
      </c>
      <c r="F30" s="5">
        <f t="shared" si="2"/>
        <v>0</v>
      </c>
      <c r="G30" s="5">
        <f t="shared" si="3"/>
        <v>1.4166666666666643</v>
      </c>
      <c r="H30" s="5">
        <f t="shared" si="4"/>
        <v>694.44444444444468</v>
      </c>
    </row>
    <row r="31" spans="1:8" x14ac:dyDescent="0.25">
      <c r="A31" s="5">
        <v>24</v>
      </c>
      <c r="B31" s="3">
        <v>0.405555555555556</v>
      </c>
      <c r="C31" s="3">
        <v>0.67361111111111105</v>
      </c>
      <c r="D31" s="4">
        <f t="shared" si="0"/>
        <v>0.26805555555555505</v>
      </c>
      <c r="E31" s="5">
        <f t="shared" si="1"/>
        <v>6.4333333333333211</v>
      </c>
      <c r="F31" s="5">
        <f t="shared" si="2"/>
        <v>0</v>
      </c>
      <c r="G31" s="5">
        <f t="shared" si="3"/>
        <v>2.0666666666666789</v>
      </c>
      <c r="H31" s="5">
        <f t="shared" si="4"/>
        <v>630.71895424836487</v>
      </c>
    </row>
    <row r="32" spans="1:8" x14ac:dyDescent="0.25">
      <c r="A32" s="5" t="s">
        <v>38</v>
      </c>
      <c r="B32" s="3"/>
      <c r="C32" s="3"/>
      <c r="D32" s="4">
        <f t="shared" si="0"/>
        <v>0</v>
      </c>
      <c r="E32" s="5">
        <f t="shared" si="1"/>
        <v>0</v>
      </c>
      <c r="F32" s="5">
        <f t="shared" si="2"/>
        <v>0</v>
      </c>
      <c r="G32" s="5">
        <f t="shared" si="3"/>
        <v>8.5</v>
      </c>
      <c r="H32" s="5">
        <f t="shared" si="4"/>
        <v>0</v>
      </c>
    </row>
    <row r="33" spans="1:8" x14ac:dyDescent="0.25">
      <c r="A33" s="5" t="s">
        <v>39</v>
      </c>
      <c r="D33" s="4">
        <f t="shared" si="0"/>
        <v>0</v>
      </c>
      <c r="E33" s="5">
        <f t="shared" si="1"/>
        <v>0</v>
      </c>
      <c r="F33" s="5">
        <f t="shared" si="2"/>
        <v>0</v>
      </c>
      <c r="G33" s="5">
        <f t="shared" si="3"/>
        <v>8.5</v>
      </c>
      <c r="H33" s="5">
        <f t="shared" si="4"/>
        <v>0</v>
      </c>
    </row>
    <row r="34" spans="1:8" x14ac:dyDescent="0.25">
      <c r="A34" s="5">
        <v>27</v>
      </c>
      <c r="B34" s="3">
        <v>0.390972222222222</v>
      </c>
      <c r="C34" s="3">
        <v>0.750694444444444</v>
      </c>
      <c r="D34" s="4">
        <f t="shared" si="0"/>
        <v>0.359722222222222</v>
      </c>
      <c r="E34" s="5">
        <f t="shared" si="1"/>
        <v>8.6333333333333275</v>
      </c>
      <c r="F34" s="5">
        <f t="shared" si="2"/>
        <v>0.13333333333332753</v>
      </c>
      <c r="G34" s="5">
        <f t="shared" si="3"/>
        <v>0</v>
      </c>
      <c r="H34" s="5">
        <f t="shared" si="4"/>
        <v>846.40522875816941</v>
      </c>
    </row>
    <row r="35" spans="1:8" x14ac:dyDescent="0.25">
      <c r="A35" s="5" t="s">
        <v>40</v>
      </c>
      <c r="B35" s="3"/>
      <c r="C35" s="3"/>
      <c r="D35" s="4">
        <f t="shared" si="0"/>
        <v>0</v>
      </c>
      <c r="E35" s="5">
        <f t="shared" si="1"/>
        <v>0</v>
      </c>
      <c r="F35" s="5">
        <f t="shared" si="2"/>
        <v>0</v>
      </c>
      <c r="G35" s="5">
        <f t="shared" si="3"/>
        <v>8.5</v>
      </c>
      <c r="H35" s="5">
        <f t="shared" si="4"/>
        <v>0</v>
      </c>
    </row>
    <row r="36" spans="1:8" x14ac:dyDescent="0.25">
      <c r="A36" s="5">
        <v>29</v>
      </c>
      <c r="B36" s="3">
        <v>0.375</v>
      </c>
      <c r="C36" s="3">
        <v>0.72916666666666696</v>
      </c>
      <c r="D36" s="4">
        <f t="shared" ref="D36:D37" si="5">IF(C36&lt;B36,C36+1,C36)-B36</f>
        <v>0.35416666666666696</v>
      </c>
      <c r="E36" s="5">
        <f t="shared" si="1"/>
        <v>8.5000000000000071</v>
      </c>
      <c r="F36" s="5">
        <f t="shared" si="2"/>
        <v>7.1054273576010019E-15</v>
      </c>
      <c r="G36" s="5">
        <f t="shared" ref="G36:G37" si="6">IF(E36&lt;$B$3,$B$3-E36,0)</f>
        <v>0</v>
      </c>
      <c r="H36" s="5">
        <f t="shared" ref="H36:H37" si="7">$B$5*(E36/$B$3)</f>
        <v>833.33333333333417</v>
      </c>
    </row>
    <row r="37" spans="1:8" x14ac:dyDescent="0.25">
      <c r="A37" s="5">
        <v>30</v>
      </c>
      <c r="B37" s="3">
        <v>0.375</v>
      </c>
      <c r="C37" s="3">
        <v>0.72916666666666696</v>
      </c>
      <c r="D37" s="4">
        <f t="shared" si="5"/>
        <v>0.35416666666666696</v>
      </c>
      <c r="E37" s="5">
        <f t="shared" si="1"/>
        <v>8.5000000000000071</v>
      </c>
      <c r="F37" s="5">
        <f t="shared" si="2"/>
        <v>7.1054273576010019E-15</v>
      </c>
      <c r="G37" s="5">
        <f t="shared" si="6"/>
        <v>0</v>
      </c>
      <c r="H37" s="5">
        <f t="shared" si="7"/>
        <v>833.33333333333417</v>
      </c>
    </row>
    <row r="38" spans="1:8" x14ac:dyDescent="0.25">
      <c r="A38" s="1" t="s">
        <v>14</v>
      </c>
      <c r="E38" s="5">
        <f>SUM(E8:E35)</f>
        <v>208.96666666666667</v>
      </c>
      <c r="F38" s="5">
        <f>SUM(F8:F35)</f>
        <v>7.5666666666667002</v>
      </c>
      <c r="H38" s="5">
        <f>SUM(H8:H37)</f>
        <v>22153.594771241835</v>
      </c>
    </row>
    <row r="40" spans="1:8" s="7" customFormat="1" x14ac:dyDescent="0.25">
      <c r="A40" s="8" t="s">
        <v>20</v>
      </c>
      <c r="H40" s="7">
        <f>SUM(H8:H37)-200</f>
        <v>21953.594771241835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Employee_1</vt:lpstr>
      <vt:lpstr>Employee_2</vt:lpstr>
      <vt:lpstr>Employee_4</vt:lpstr>
      <vt:lpstr>Employee_6</vt:lpstr>
      <vt:lpstr>Employee_7</vt:lpstr>
      <vt:lpstr>Employee_10</vt:lpstr>
      <vt:lpstr>Employee_12</vt:lpstr>
      <vt:lpstr>Employee_13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Reception</cp:lastModifiedBy>
  <cp:revision>13</cp:revision>
  <dcterms:created xsi:type="dcterms:W3CDTF">2026-03-03T11:12:32Z</dcterms:created>
  <dcterms:modified xsi:type="dcterms:W3CDTF">2026-03-07T15:08:57Z</dcterms:modified>
  <dc:language>en-US</dc:language>
</cp:coreProperties>
</file>